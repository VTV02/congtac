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Đăng ký công tác" sheetId="1" r:id="rId4"/>
    <sheet state="visible" name="Đăng ký công tác_backup_1763692" sheetId="2" r:id="rId5"/>
    <sheet state="visible" name="Cấu hình Email" sheetId="3" r:id="rId6"/>
    <sheet state="visible" name="Danh mục" sheetId="4" r:id="rId7"/>
    <sheet state="visible" name="Phân quyền" sheetId="5" r:id="rId8"/>
    <sheet state="visible" name="Lịch sử duyệt" sheetId="6" r:id="rId9"/>
    <sheet state="visible" name="Thống kê" sheetId="7" r:id="rId10"/>
  </sheets>
  <definedNames/>
  <calcPr/>
</workbook>
</file>

<file path=xl/sharedStrings.xml><?xml version="1.0" encoding="utf-8"?>
<sst xmlns="http://schemas.openxmlformats.org/spreadsheetml/2006/main" count="362" uniqueCount="157">
  <si>
    <t>Timestamp</t>
  </si>
  <si>
    <t>Mã đăng ký</t>
  </si>
  <si>
    <t>Họ tên</t>
  </si>
  <si>
    <t>Chức vụ</t>
  </si>
  <si>
    <t>Loại phòng</t>
  </si>
  <si>
    <t>Thông tin cần thiết</t>
  </si>
  <si>
    <t>Ngày đến</t>
  </si>
  <si>
    <t>Ngày đi</t>
  </si>
  <si>
    <t>Phương tiện</t>
  </si>
  <si>
    <t>Nhà ăn</t>
  </si>
  <si>
    <t>Địa điểm công tác</t>
  </si>
  <si>
    <t>Email người đăng ký</t>
  </si>
  <si>
    <t>Trạng thái</t>
  </si>
  <si>
    <t>Email đã gửi tới</t>
  </si>
  <si>
    <t>Thời gian gửi email</t>
  </si>
  <si>
    <t>Người duyệt</t>
  </si>
  <si>
    <t>Ngày duyệt</t>
  </si>
  <si>
    <t>Lý do từ chối</t>
  </si>
  <si>
    <t>Lịch sử thay đổi</t>
  </si>
  <si>
    <t>File đính kèm</t>
  </si>
  <si>
    <t>Đã xóa</t>
  </si>
  <si>
    <t>DK-20241120-001</t>
  </si>
  <si>
    <t>Nguyễn Văn A</t>
  </si>
  <si>
    <t>Trưởng phòng</t>
  </si>
  <si>
    <t>Phòng VIP</t>
  </si>
  <si>
    <t>Cần chuẩn bị phòng họp</t>
  </si>
  <si>
    <t>Ô tô</t>
  </si>
  <si>
    <t>Văn phòng 55</t>
  </si>
  <si>
    <t>nguyenvana@thaco.com.vn</t>
  </si>
  <si>
    <t>Đã duyệt</t>
  </si>
  <si>
    <t>vovantrung200270@gmail.com</t>
  </si>
  <si>
    <t>[{"time":"2024-11-20 10:30","action":"Tạo mới"},{"time":"21/11/2025 09:38:48","action":"Duyệt","user":"vovantrung200270@gmail.com","note":"Ok rồi em"}]</t>
  </si>
  <si>
    <t>DK-20251121-001</t>
  </si>
  <si>
    <t>Trần Trùi Trụi</t>
  </si>
  <si>
    <t>Tổng Giám đốc</t>
  </si>
  <si>
    <t>Còn dịch vụ gì khác hông!</t>
  </si>
  <si>
    <t>Xe máy</t>
  </si>
  <si>
    <t>trantruitrui@test.com</t>
  </si>
  <si>
    <t>mailtotrang@thaco.com.vn</t>
  </si>
  <si>
    <t>[{"time":"21/11/2025 09:41:06","action":"Tạo mới","user":"vovantrung200270@gmail.com"},{"time":"21/11/2025 10:36:00","action":"Duyệt","user":"vovantrung200270@gmail.com","note":"Đơn của bạn đã được duyệt"}]</t>
  </si>
  <si>
    <t>DK-20251121-002</t>
  </si>
  <si>
    <t>Mai Chí Tâm</t>
  </si>
  <si>
    <t>Trợ lý</t>
  </si>
  <si>
    <t>Phòng Thương</t>
  </si>
  <si>
    <t xml:space="preserve">Hihi </t>
  </si>
  <si>
    <t>Bình Phước 1</t>
  </si>
  <si>
    <t>openaibku@gmail.com</t>
  </si>
  <si>
    <t>[{"time":"21/11/2025 09:55:25","action":"Tạo mới","user":"vovantrung200270@gmail.com"},{"time":"21/11/2025 09:56:23","action":"Duyệt","user":"vovantrung200270@gmail.com","note":"Tôi muốn đi công tác"}]</t>
  </si>
  <si>
    <t>DK-20251121-003</t>
  </si>
  <si>
    <t>Huỳnh Văn Thương</t>
  </si>
  <si>
    <t>Trưởng bộ phận</t>
  </si>
  <si>
    <t>Tôi gửi đơn đăng ký công tác</t>
  </si>
  <si>
    <t>vovantrung@thagrico.vn</t>
  </si>
  <si>
    <t>[{"time":"21/11/2025 10:39:38","action":"Tạo mới","user":""},{"time":"21/11/2025 10:41:22","action":"Chỉnh sửa","user":"vovantrung200270@gmail.com"},{"time":"21/11/2025 10:41:49","action":"Duyệt","user":"vovantrung200270@gmail.com","note":"Tôi xác nhận tiếp nhận"}]</t>
  </si>
  <si>
    <t>DK-20251122-001</t>
  </si>
  <si>
    <t>Phó Tổng Giám đốc</t>
  </si>
  <si>
    <t>Phòng Văn phòng 55</t>
  </si>
  <si>
    <t>Tôi muốn đi công tác</t>
  </si>
  <si>
    <t>[{"time":"22/11/2025 07:35:09","action":"Tạo mới","user":"vovantrung200270@gmail.com"},{"time":"22/11/2025 07:36:16","action":"Duyệt","user":"vovantrung200270@gmail.com","note":"Bố đồng ý"}]</t>
  </si>
  <si>
    <t>DK-20251122-002</t>
  </si>
  <si>
    <t>Chuyên viên</t>
  </si>
  <si>
    <t>Hihi</t>
  </si>
  <si>
    <t>mailtotinh@thaco.com.vn</t>
  </si>
  <si>
    <t>[{"time":"22/11/2025 07:40:02","action":"Tạo mới","user":"vovantrung200270@gmail.com"},{"time":"22/11/2025 10:41:44","action":"Duyệt","user":"vovantrung200270@gmail.com","note":"Okla"}]</t>
  </si>
  <si>
    <t>DK-20251122-003</t>
  </si>
  <si>
    <t>Phòng Thường</t>
  </si>
  <si>
    <t xml:space="preserve">Tôi cần đi công tác </t>
  </si>
  <si>
    <t>Xi nghiệp Bò</t>
  </si>
  <si>
    <t>ERC</t>
  </si>
  <si>
    <t>huynhvanthuong1@thagrico.vn</t>
  </si>
  <si>
    <t>mailtonam@thaco.com.vn</t>
  </si>
  <si>
    <t>[{"time":"22/11/2025 14:19:53","action":"Tạo mới","user":"vovantrung200270@gmail.com"},{"time":"22/11/2025 14:27:46","action":"Duyệt","user":"vovantrung200270@gmail.com","note":"Đi hóc kít bò nha em"}]</t>
  </si>
  <si>
    <t>DK-20251122-004</t>
  </si>
  <si>
    <t>HVT</t>
  </si>
  <si>
    <t>Đơn tiếp nhận công tác</t>
  </si>
  <si>
    <t>Từ chối</t>
  </si>
  <si>
    <t>mailtosonpich@thaco.com.vn</t>
  </si>
  <si>
    <t>Đi gì đi quài vậy ní</t>
  </si>
  <si>
    <t>[{"time":"22/11/2025 14:43:26","action":"Tạo mới","user":"vovantrung200270@gmail.com"},{"time":"22/11/2025 14:44:51","action":"Từ chối","user":"vovantrung200270@gmail.com","note":"Đi gì đi quài vậy ní"}]</t>
  </si>
  <si>
    <t>DK-20251122-005</t>
  </si>
  <si>
    <t>Vo Van Trung</t>
  </si>
  <si>
    <t>Thông tin nhân sự công tác</t>
  </si>
  <si>
    <t>Bình Phước 2</t>
  </si>
  <si>
    <t>maichitam1997@gmail.com</t>
  </si>
  <si>
    <t>mailtocuong@thaco.com.vn</t>
  </si>
  <si>
    <t>[{"time":"22/11/2025 20:03:39","action":"Tạo mới","user":""},{"time":"22/11/2025 20:04:48","action":"Duyệt","user":"vovantrung200270@gmail.com","note":"Chấp nhận tiếp nhận công tác và sắp xếp chỗ ở nhé em."}]</t>
  </si>
  <si>
    <t>DK-20251123-001</t>
  </si>
  <si>
    <t>Nguyễn Hữu Văn</t>
  </si>
  <si>
    <t>Thông báo tiếp nhận công tác</t>
  </si>
  <si>
    <t>vanhuutc@gmail.com</t>
  </si>
  <si>
    <t>sangkimsa021202@gmail.com</t>
  </si>
  <si>
    <t>[{"time":"23/11/2025 07:16:23","action":"Tạo mới","user":"vovantrung200270@gmail.com"},{"time":"23/11/2025 07:36:24","action":"Duyệt","user":"vovantrung200270@gmail.com","note":"Đã chuẩn bị xong tiếp đón khách công tác."}]</t>
  </si>
  <si>
    <t>DK-20251123-002</t>
  </si>
  <si>
    <t>Đào Duy Thẩm</t>
  </si>
  <si>
    <t>Phó phòng</t>
  </si>
  <si>
    <t>ACB</t>
  </si>
  <si>
    <t>Chờ duyệt</t>
  </si>
  <si>
    <t>[{"time":"23/11/2025 10:15:05","action":"Tạo mới","user":""}]</t>
  </si>
  <si>
    <t>Phòng ban</t>
  </si>
  <si>
    <t>Địa điểm</t>
  </si>
  <si>
    <t>Email người nhận</t>
  </si>
  <si>
    <t>Tên người nhận</t>
  </si>
  <si>
    <t>Ghi chú</t>
  </si>
  <si>
    <t>Chị Trang</t>
  </si>
  <si>
    <t>Văn phòng trung tâm</t>
  </si>
  <si>
    <t>Active</t>
  </si>
  <si>
    <t>Anh Tịnh</t>
  </si>
  <si>
    <t>Khu vực BP1</t>
  </si>
  <si>
    <t>vovantrungphone2002@gmail.com</t>
  </si>
  <si>
    <t>Anh Cương</t>
  </si>
  <si>
    <t>Khu vực BP2</t>
  </si>
  <si>
    <t>sonheungmintn2002@gmail.com</t>
  </si>
  <si>
    <t>Anh Nam</t>
  </si>
  <si>
    <t>Trung tâm nghiên cứu</t>
  </si>
  <si>
    <t>Anh Sơn Pích</t>
  </si>
  <si>
    <t>Trang trại</t>
  </si>
  <si>
    <t>Giám đốc</t>
  </si>
  <si>
    <t>Phó Giám đốc</t>
  </si>
  <si>
    <t>Email</t>
  </si>
  <si>
    <t>Vai trò</t>
  </si>
  <si>
    <t>Địa điểm quản lý</t>
  </si>
  <si>
    <t>Admin</t>
  </si>
  <si>
    <t>Tất cả</t>
  </si>
  <si>
    <t>Approver</t>
  </si>
  <si>
    <t>Anh Cường</t>
  </si>
  <si>
    <t>Anh Sơn Pịch</t>
  </si>
  <si>
    <t>Xí nghiệp Bò</t>
  </si>
  <si>
    <t>Trung IT</t>
  </si>
  <si>
    <t>Trung</t>
  </si>
  <si>
    <t>ID</t>
  </si>
  <si>
    <t>Người thao tác</t>
  </si>
  <si>
    <t>D: Hành động</t>
  </si>
  <si>
    <t>Thời gian</t>
  </si>
  <si>
    <t>IP Address</t>
  </si>
  <si>
    <t>admin@thaco.com.vn</t>
  </si>
  <si>
    <t>Duyệt</t>
  </si>
  <si>
    <t>OK</t>
  </si>
  <si>
    <t>192.168.1.1</t>
  </si>
  <si>
    <t>Ok rồi em</t>
  </si>
  <si>
    <t>Đơn của bạn đã được duyệt</t>
  </si>
  <si>
    <t>Tôi xác nhận tiếp nhận</t>
  </si>
  <si>
    <t>Bố đồng ý</t>
  </si>
  <si>
    <t>Okla</t>
  </si>
  <si>
    <t>Đi hóc kít bò nha em</t>
  </si>
  <si>
    <t>Chấp nhận tiếp nhận công tác và sắp xếp chỗ ở nhé em.</t>
  </si>
  <si>
    <t>Đã chuẩn bị xong tiếp đón khách công tác.</t>
  </si>
  <si>
    <t>Chỉ số</t>
  </si>
  <si>
    <t>Giá trị</t>
  </si>
  <si>
    <t>Công thức</t>
  </si>
  <si>
    <t>Tổng số đăng ký</t>
  </si>
  <si>
    <t>Đếm tất cả trừ đã xóa</t>
  </si>
  <si>
    <t>Đăng ký tháng này</t>
  </si>
  <si>
    <t>Đếm theo tháng</t>
  </si>
  <si>
    <t>Đếm chờ</t>
  </si>
  <si>
    <t>Đếm đã duyệt</t>
  </si>
  <si>
    <t>Đếm từ chối</t>
  </si>
  <si>
    <t>Theo địa điểm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</si>
</sst>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 hh:mm:ss"/>
    <numFmt numFmtId="165" formatCode="dd/mm/yyyy"/>
    <numFmt numFmtId="166" formatCode="d/m/yyyy hh:mm:ss"/>
    <numFmt numFmtId="167" formatCode="d/m/yyyy"/>
    <numFmt numFmtId="168" formatCode="m/d/yyyy h:mm:ss"/>
  </numFmts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A86B"/>
        <bgColor rgb="FF00A86B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3" fontId="2" numFmtId="0" xfId="0" applyAlignment="1" applyFill="1" applyFont="1">
      <alignment readingOrder="0"/>
    </xf>
    <xf borderId="0" fillId="0" fontId="2" numFmtId="164" xfId="0" applyFont="1" applyNumberFormat="1"/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0" fontId="2" numFmtId="165" xfId="0" applyFont="1" applyNumberFormat="1"/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8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3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4.5"/>
    <col customWidth="1" min="3" max="3" width="11.0"/>
    <col customWidth="1" min="4" max="4" width="13.0"/>
    <col customWidth="1" min="5" max="5" width="8.75"/>
    <col customWidth="1" min="6" max="6" width="22.63"/>
    <col customWidth="1" min="7" max="8" width="9.63"/>
    <col customWidth="1" min="9" max="9" width="9.88"/>
    <col customWidth="1" min="10" max="11" width="11.38"/>
    <col customWidth="1" min="12" max="12" width="21.63"/>
    <col customWidth="1" min="13" max="13" width="8.38"/>
    <col customWidth="1" min="14" max="14" width="20.88"/>
    <col customWidth="1" min="15" max="15" width="10.88"/>
    <col customWidth="1" min="16" max="16" width="24.13"/>
    <col customWidth="1" min="17" max="17" width="9.13"/>
    <col customWidth="1" min="18" max="18" width="10.25"/>
    <col customWidth="1" min="19" max="19" width="200.25"/>
    <col customWidth="1" min="20" max="20" width="10.75"/>
    <col customWidth="1" min="21" max="21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3">
        <v>45616.4375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4">
        <v>45621.29166666667</v>
      </c>
      <c r="H2" s="4">
        <v>45623.29166666667</v>
      </c>
      <c r="I2" s="2" t="s">
        <v>26</v>
      </c>
      <c r="J2" s="2" t="s">
        <v>27</v>
      </c>
      <c r="K2" s="2" t="s">
        <v>27</v>
      </c>
      <c r="L2" s="2" t="s">
        <v>28</v>
      </c>
      <c r="M2" s="5" t="s">
        <v>29</v>
      </c>
      <c r="O2" s="6"/>
      <c r="P2" s="2" t="s">
        <v>30</v>
      </c>
      <c r="Q2" s="3">
        <v>45982.40194517361</v>
      </c>
      <c r="S2" s="2" t="s">
        <v>31</v>
      </c>
      <c r="U2" s="2" t="b">
        <v>0</v>
      </c>
    </row>
    <row r="3">
      <c r="A3" s="3">
        <v>45982.40355130787</v>
      </c>
      <c r="B3" s="2" t="s">
        <v>32</v>
      </c>
      <c r="C3" s="2" t="s">
        <v>33</v>
      </c>
      <c r="D3" s="2" t="s">
        <v>34</v>
      </c>
      <c r="E3" s="2" t="s">
        <v>24</v>
      </c>
      <c r="F3" s="2" t="s">
        <v>35</v>
      </c>
      <c r="G3" s="4">
        <v>45983.29166666667</v>
      </c>
      <c r="H3" s="4">
        <v>45986.29166666667</v>
      </c>
      <c r="I3" s="2" t="s">
        <v>36</v>
      </c>
      <c r="J3" s="2" t="s">
        <v>27</v>
      </c>
      <c r="K3" s="2" t="s">
        <v>27</v>
      </c>
      <c r="L3" s="2" t="s">
        <v>37</v>
      </c>
      <c r="M3" s="5" t="s">
        <v>29</v>
      </c>
      <c r="N3" s="2" t="s">
        <v>38</v>
      </c>
      <c r="O3" s="3">
        <v>45982.40356857639</v>
      </c>
      <c r="P3" s="2" t="s">
        <v>30</v>
      </c>
      <c r="Q3" s="3">
        <v>45982.44167746528</v>
      </c>
      <c r="S3" s="2" t="s">
        <v>39</v>
      </c>
      <c r="U3" s="2" t="b">
        <v>0</v>
      </c>
    </row>
    <row r="4">
      <c r="A4" s="3">
        <v>45982.41348914352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44</v>
      </c>
      <c r="G4" s="4">
        <v>45985.29166666667</v>
      </c>
      <c r="H4" s="4">
        <v>45989.29166666667</v>
      </c>
      <c r="I4" s="2" t="s">
        <v>26</v>
      </c>
      <c r="J4" s="2" t="s">
        <v>45</v>
      </c>
      <c r="K4" s="2" t="s">
        <v>27</v>
      </c>
      <c r="L4" s="2" t="s">
        <v>46</v>
      </c>
      <c r="M4" s="5" t="s">
        <v>29</v>
      </c>
      <c r="N4" s="2" t="s">
        <v>46</v>
      </c>
      <c r="O4" s="3">
        <v>45982.413505034725</v>
      </c>
      <c r="P4" s="2" t="s">
        <v>30</v>
      </c>
      <c r="Q4" s="3">
        <v>45982.41416626157</v>
      </c>
      <c r="S4" s="2" t="s">
        <v>47</v>
      </c>
      <c r="U4" s="2" t="b">
        <v>0</v>
      </c>
    </row>
    <row r="5">
      <c r="A5" s="3">
        <v>45982.44419010417</v>
      </c>
      <c r="B5" s="2" t="s">
        <v>48</v>
      </c>
      <c r="C5" s="2" t="s">
        <v>49</v>
      </c>
      <c r="D5" s="2" t="s">
        <v>50</v>
      </c>
      <c r="E5" s="2" t="s">
        <v>43</v>
      </c>
      <c r="F5" s="2" t="s">
        <v>51</v>
      </c>
      <c r="G5" s="4">
        <v>45983.29166666667</v>
      </c>
      <c r="H5" s="4">
        <v>45987.29166666667</v>
      </c>
      <c r="I5" s="2" t="s">
        <v>36</v>
      </c>
      <c r="J5" s="2" t="s">
        <v>27</v>
      </c>
      <c r="K5" s="2" t="s">
        <v>27</v>
      </c>
      <c r="L5" s="2" t="s">
        <v>52</v>
      </c>
      <c r="M5" s="5" t="s">
        <v>29</v>
      </c>
      <c r="N5" s="2" t="s">
        <v>46</v>
      </c>
      <c r="O5" s="3">
        <v>45982.44420946759</v>
      </c>
      <c r="P5" s="2" t="s">
        <v>30</v>
      </c>
      <c r="Q5" s="3">
        <v>45982.4457134375</v>
      </c>
      <c r="S5" s="2" t="s">
        <v>53</v>
      </c>
      <c r="U5" s="2" t="b">
        <v>0</v>
      </c>
    </row>
    <row r="6">
      <c r="A6" s="3">
        <v>45983.31608736111</v>
      </c>
      <c r="B6" s="2" t="s">
        <v>54</v>
      </c>
      <c r="C6" s="2" t="s">
        <v>33</v>
      </c>
      <c r="D6" s="2" t="s">
        <v>55</v>
      </c>
      <c r="E6" s="2" t="s">
        <v>56</v>
      </c>
      <c r="F6" s="2" t="s">
        <v>57</v>
      </c>
      <c r="G6" s="4">
        <v>45984.29166666667</v>
      </c>
      <c r="H6" s="4">
        <v>45985.29166666667</v>
      </c>
      <c r="I6" s="2" t="s">
        <v>36</v>
      </c>
      <c r="J6" s="2" t="s">
        <v>27</v>
      </c>
      <c r="K6" s="2" t="s">
        <v>27</v>
      </c>
      <c r="L6" s="2" t="s">
        <v>46</v>
      </c>
      <c r="M6" s="5" t="s">
        <v>29</v>
      </c>
      <c r="N6" s="2" t="s">
        <v>46</v>
      </c>
      <c r="O6" s="3">
        <v>45983.31611054398</v>
      </c>
      <c r="P6" s="2" t="s">
        <v>30</v>
      </c>
      <c r="Q6" s="3">
        <v>45983.31685408565</v>
      </c>
      <c r="S6" s="2" t="s">
        <v>58</v>
      </c>
      <c r="U6" s="2" t="b">
        <v>0</v>
      </c>
    </row>
    <row r="7">
      <c r="A7" s="3">
        <v>45983.31947461805</v>
      </c>
      <c r="B7" s="2" t="s">
        <v>59</v>
      </c>
      <c r="C7" s="2" t="s">
        <v>41</v>
      </c>
      <c r="D7" s="2" t="s">
        <v>60</v>
      </c>
      <c r="E7" s="2" t="s">
        <v>24</v>
      </c>
      <c r="F7" s="2" t="s">
        <v>61</v>
      </c>
      <c r="G7" s="4">
        <v>45986.29166666667</v>
      </c>
      <c r="H7" s="4">
        <v>45988.29166666667</v>
      </c>
      <c r="I7" s="2" t="s">
        <v>36</v>
      </c>
      <c r="J7" s="2" t="s">
        <v>45</v>
      </c>
      <c r="K7" s="2" t="s">
        <v>45</v>
      </c>
      <c r="L7" s="2" t="s">
        <v>46</v>
      </c>
      <c r="M7" s="5" t="s">
        <v>29</v>
      </c>
      <c r="N7" s="2" t="s">
        <v>62</v>
      </c>
      <c r="O7" s="3">
        <v>45983.31949288194</v>
      </c>
      <c r="P7" s="2" t="s">
        <v>30</v>
      </c>
      <c r="Q7" s="3">
        <v>45983.44564929398</v>
      </c>
      <c r="S7" s="2" t="s">
        <v>63</v>
      </c>
      <c r="U7" s="2" t="b">
        <v>0</v>
      </c>
    </row>
    <row r="8">
      <c r="A8" s="3">
        <v>45983.59714935185</v>
      </c>
      <c r="B8" s="2" t="s">
        <v>64</v>
      </c>
      <c r="C8" s="2" t="s">
        <v>49</v>
      </c>
      <c r="D8" s="2" t="s">
        <v>50</v>
      </c>
      <c r="E8" s="2" t="s">
        <v>65</v>
      </c>
      <c r="F8" s="2" t="s">
        <v>66</v>
      </c>
      <c r="G8" s="4">
        <v>45984.29166666667</v>
      </c>
      <c r="H8" s="4">
        <v>45986.29166666667</v>
      </c>
      <c r="I8" s="2" t="s">
        <v>26</v>
      </c>
      <c r="J8" s="2" t="s">
        <v>67</v>
      </c>
      <c r="K8" s="2" t="s">
        <v>68</v>
      </c>
      <c r="L8" s="2" t="s">
        <v>69</v>
      </c>
      <c r="M8" s="5" t="s">
        <v>29</v>
      </c>
      <c r="N8" s="2" t="s">
        <v>70</v>
      </c>
      <c r="O8" s="3">
        <v>45983.597165810184</v>
      </c>
      <c r="P8" s="2" t="s">
        <v>30</v>
      </c>
      <c r="Q8" s="3">
        <v>45983.60262304398</v>
      </c>
      <c r="S8" s="2" t="s">
        <v>71</v>
      </c>
      <c r="U8" s="2" t="b">
        <v>0</v>
      </c>
    </row>
    <row r="9">
      <c r="A9" s="3">
        <v>45983.61349559028</v>
      </c>
      <c r="B9" s="2" t="s">
        <v>72</v>
      </c>
      <c r="C9" s="2" t="s">
        <v>73</v>
      </c>
      <c r="D9" s="2" t="s">
        <v>23</v>
      </c>
      <c r="E9" s="2" t="s">
        <v>24</v>
      </c>
      <c r="F9" s="2" t="s">
        <v>74</v>
      </c>
      <c r="G9" s="4">
        <v>45986.29166666667</v>
      </c>
      <c r="H9" s="4">
        <v>45989.29166666667</v>
      </c>
      <c r="I9" s="2" t="s">
        <v>26</v>
      </c>
      <c r="J9" s="2" t="s">
        <v>27</v>
      </c>
      <c r="K9" s="2" t="s">
        <v>67</v>
      </c>
      <c r="L9" s="2" t="s">
        <v>69</v>
      </c>
      <c r="M9" s="7" t="s">
        <v>75</v>
      </c>
      <c r="N9" s="2" t="s">
        <v>76</v>
      </c>
      <c r="O9" s="3">
        <v>45983.61350953704</v>
      </c>
      <c r="P9" s="2" t="s">
        <v>30</v>
      </c>
      <c r="Q9" s="3">
        <v>45983.61448444445</v>
      </c>
      <c r="R9" s="2" t="s">
        <v>77</v>
      </c>
      <c r="S9" s="2" t="s">
        <v>78</v>
      </c>
      <c r="U9" s="2" t="b">
        <v>0</v>
      </c>
    </row>
    <row r="10">
      <c r="A10" s="3">
        <v>45983.835870509254</v>
      </c>
      <c r="B10" s="2" t="s">
        <v>79</v>
      </c>
      <c r="C10" s="2" t="s">
        <v>80</v>
      </c>
      <c r="D10" s="2" t="s">
        <v>34</v>
      </c>
      <c r="E10" s="2" t="s">
        <v>24</v>
      </c>
      <c r="F10" s="2" t="s">
        <v>81</v>
      </c>
      <c r="G10" s="4">
        <v>45984.29166666667</v>
      </c>
      <c r="H10" s="4">
        <v>45986.29166666667</v>
      </c>
      <c r="I10" s="2" t="s">
        <v>26</v>
      </c>
      <c r="J10" s="2" t="s">
        <v>45</v>
      </c>
      <c r="K10" s="2" t="s">
        <v>82</v>
      </c>
      <c r="L10" s="2" t="s">
        <v>83</v>
      </c>
      <c r="M10" s="5" t="s">
        <v>29</v>
      </c>
      <c r="N10" s="2" t="s">
        <v>84</v>
      </c>
      <c r="O10" s="3">
        <v>45983.835890381946</v>
      </c>
      <c r="P10" s="2" t="s">
        <v>30</v>
      </c>
      <c r="Q10" s="3">
        <v>45983.83667549769</v>
      </c>
      <c r="S10" s="2" t="s">
        <v>85</v>
      </c>
      <c r="U10" s="2" t="b">
        <v>0</v>
      </c>
    </row>
    <row r="11">
      <c r="A11" s="3">
        <v>45984.303049988426</v>
      </c>
      <c r="B11" s="2" t="s">
        <v>86</v>
      </c>
      <c r="C11" s="2" t="s">
        <v>87</v>
      </c>
      <c r="D11" s="2" t="s">
        <v>50</v>
      </c>
      <c r="E11" s="2" t="s">
        <v>65</v>
      </c>
      <c r="F11" s="2" t="s">
        <v>88</v>
      </c>
      <c r="G11" s="4">
        <v>45986.29166666667</v>
      </c>
      <c r="H11" s="4">
        <v>45989.29166666667</v>
      </c>
      <c r="I11" s="2" t="s">
        <v>26</v>
      </c>
      <c r="J11" s="2" t="s">
        <v>45</v>
      </c>
      <c r="K11" s="2" t="s">
        <v>45</v>
      </c>
      <c r="L11" s="2" t="s">
        <v>89</v>
      </c>
      <c r="M11" s="5" t="s">
        <v>29</v>
      </c>
      <c r="N11" s="2" t="s">
        <v>90</v>
      </c>
      <c r="O11" s="3">
        <v>45984.303064444444</v>
      </c>
      <c r="P11" s="2" t="s">
        <v>30</v>
      </c>
      <c r="Q11" s="3">
        <v>45984.316949699074</v>
      </c>
      <c r="S11" s="2" t="s">
        <v>91</v>
      </c>
      <c r="U11" s="2" t="b">
        <v>0</v>
      </c>
    </row>
    <row r="12">
      <c r="A12" s="3">
        <v>45984.42714513889</v>
      </c>
      <c r="B12" s="2" t="s">
        <v>92</v>
      </c>
      <c r="C12" s="2" t="s">
        <v>93</v>
      </c>
      <c r="D12" s="2" t="s">
        <v>94</v>
      </c>
      <c r="E12" s="2" t="s">
        <v>65</v>
      </c>
      <c r="F12" s="2" t="s">
        <v>95</v>
      </c>
      <c r="G12" s="4">
        <v>45985.29166666667</v>
      </c>
      <c r="H12" s="4">
        <v>45988.29166666667</v>
      </c>
      <c r="I12" s="2" t="s">
        <v>26</v>
      </c>
      <c r="J12" s="2" t="s">
        <v>45</v>
      </c>
      <c r="K12" s="2" t="s">
        <v>45</v>
      </c>
      <c r="L12" s="2" t="s">
        <v>46</v>
      </c>
      <c r="M12" s="8" t="s">
        <v>96</v>
      </c>
      <c r="N12" s="2" t="s">
        <v>90</v>
      </c>
      <c r="O12" s="3">
        <v>45984.42715778935</v>
      </c>
      <c r="Q12" s="6"/>
      <c r="S12" s="2" t="s">
        <v>97</v>
      </c>
      <c r="U12" s="2" t="b">
        <v>0</v>
      </c>
    </row>
    <row r="13">
      <c r="A13" s="6"/>
      <c r="G13" s="9"/>
      <c r="H13" s="9"/>
      <c r="O13" s="6"/>
      <c r="Q13" s="6"/>
    </row>
    <row r="14">
      <c r="A14" s="6"/>
      <c r="G14" s="9"/>
      <c r="H14" s="9"/>
      <c r="O14" s="6"/>
      <c r="Q14" s="6"/>
    </row>
    <row r="15">
      <c r="A15" s="6"/>
      <c r="G15" s="9"/>
      <c r="H15" s="9"/>
      <c r="O15" s="6"/>
      <c r="Q15" s="6"/>
    </row>
    <row r="16">
      <c r="A16" s="6"/>
      <c r="G16" s="9"/>
      <c r="H16" s="9"/>
      <c r="O16" s="6"/>
      <c r="Q16" s="6"/>
    </row>
    <row r="17">
      <c r="A17" s="6"/>
      <c r="G17" s="9"/>
      <c r="H17" s="9"/>
      <c r="O17" s="6"/>
      <c r="Q17" s="6"/>
    </row>
    <row r="18">
      <c r="A18" s="6"/>
      <c r="G18" s="9"/>
      <c r="H18" s="9"/>
      <c r="O18" s="6"/>
      <c r="Q18" s="6"/>
    </row>
    <row r="19">
      <c r="A19" s="6"/>
      <c r="G19" s="9"/>
      <c r="H19" s="9"/>
      <c r="O19" s="6"/>
      <c r="Q19" s="6"/>
    </row>
    <row r="20">
      <c r="A20" s="6"/>
      <c r="G20" s="9"/>
      <c r="H20" s="9"/>
      <c r="O20" s="6"/>
      <c r="Q20" s="6"/>
    </row>
    <row r="21">
      <c r="A21" s="6"/>
      <c r="G21" s="9"/>
      <c r="H21" s="9"/>
      <c r="O21" s="6"/>
      <c r="Q21" s="6"/>
    </row>
    <row r="22">
      <c r="A22" s="6"/>
      <c r="G22" s="9"/>
      <c r="H22" s="9"/>
      <c r="O22" s="6"/>
      <c r="Q22" s="6"/>
    </row>
    <row r="23">
      <c r="A23" s="6"/>
      <c r="G23" s="9"/>
      <c r="H23" s="9"/>
      <c r="O23" s="6"/>
      <c r="Q23" s="6"/>
    </row>
    <row r="24">
      <c r="A24" s="6"/>
      <c r="G24" s="9"/>
      <c r="H24" s="9"/>
      <c r="O24" s="6"/>
      <c r="Q24" s="6"/>
    </row>
    <row r="25">
      <c r="A25" s="6"/>
      <c r="G25" s="9"/>
      <c r="H25" s="9"/>
      <c r="O25" s="6"/>
      <c r="Q25" s="6"/>
    </row>
    <row r="26">
      <c r="A26" s="6"/>
      <c r="G26" s="9"/>
      <c r="H26" s="9"/>
      <c r="O26" s="6"/>
      <c r="Q26" s="6"/>
    </row>
    <row r="27">
      <c r="A27" s="6"/>
      <c r="G27" s="9"/>
      <c r="H27" s="9"/>
      <c r="O27" s="6"/>
      <c r="Q27" s="6"/>
    </row>
    <row r="28">
      <c r="A28" s="6"/>
      <c r="G28" s="9"/>
      <c r="H28" s="9"/>
      <c r="O28" s="6"/>
      <c r="Q28" s="6"/>
    </row>
    <row r="29">
      <c r="A29" s="6"/>
      <c r="G29" s="9"/>
      <c r="H29" s="9"/>
      <c r="O29" s="6"/>
      <c r="Q29" s="6"/>
    </row>
    <row r="30">
      <c r="A30" s="6"/>
      <c r="G30" s="9"/>
      <c r="H30" s="9"/>
      <c r="O30" s="6"/>
      <c r="Q30" s="6"/>
    </row>
    <row r="31">
      <c r="A31" s="6"/>
      <c r="G31" s="9"/>
      <c r="H31" s="9"/>
      <c r="O31" s="6"/>
      <c r="Q31" s="6"/>
    </row>
    <row r="32">
      <c r="A32" s="6"/>
      <c r="G32" s="9"/>
      <c r="H32" s="9"/>
      <c r="O32" s="6"/>
      <c r="Q32" s="6"/>
    </row>
    <row r="33">
      <c r="A33" s="6"/>
      <c r="G33" s="9"/>
      <c r="H33" s="9"/>
      <c r="O33" s="6"/>
      <c r="Q33" s="6"/>
    </row>
    <row r="34">
      <c r="A34" s="6"/>
      <c r="G34" s="9"/>
      <c r="H34" s="9"/>
      <c r="O34" s="6"/>
      <c r="Q34" s="6"/>
    </row>
    <row r="35">
      <c r="A35" s="6"/>
      <c r="G35" s="9"/>
      <c r="H35" s="9"/>
      <c r="O35" s="6"/>
      <c r="Q35" s="6"/>
    </row>
    <row r="36">
      <c r="A36" s="6"/>
      <c r="G36" s="9"/>
      <c r="H36" s="9"/>
      <c r="O36" s="6"/>
      <c r="Q36" s="6"/>
    </row>
    <row r="37">
      <c r="A37" s="6"/>
      <c r="G37" s="9"/>
      <c r="H37" s="9"/>
      <c r="O37" s="6"/>
      <c r="Q37" s="6"/>
    </row>
    <row r="38">
      <c r="A38" s="6"/>
      <c r="G38" s="9"/>
      <c r="H38" s="9"/>
      <c r="O38" s="6"/>
      <c r="Q38" s="6"/>
    </row>
    <row r="39">
      <c r="A39" s="6"/>
      <c r="G39" s="9"/>
      <c r="H39" s="9"/>
      <c r="O39" s="6"/>
      <c r="Q39" s="6"/>
    </row>
    <row r="40">
      <c r="A40" s="6"/>
      <c r="G40" s="9"/>
      <c r="H40" s="9"/>
      <c r="O40" s="6"/>
      <c r="Q40" s="6"/>
    </row>
    <row r="41">
      <c r="A41" s="6"/>
      <c r="G41" s="9"/>
      <c r="H41" s="9"/>
      <c r="O41" s="6"/>
      <c r="Q41" s="6"/>
    </row>
    <row r="42">
      <c r="A42" s="6"/>
      <c r="G42" s="9"/>
      <c r="H42" s="9"/>
      <c r="O42" s="6"/>
      <c r="Q42" s="6"/>
    </row>
    <row r="43">
      <c r="A43" s="6"/>
      <c r="G43" s="9"/>
      <c r="H43" s="9"/>
      <c r="O43" s="6"/>
      <c r="Q43" s="6"/>
    </row>
    <row r="44">
      <c r="A44" s="6"/>
      <c r="G44" s="9"/>
      <c r="H44" s="9"/>
      <c r="O44" s="6"/>
      <c r="Q44" s="6"/>
    </row>
    <row r="45">
      <c r="A45" s="6"/>
      <c r="G45" s="9"/>
      <c r="H45" s="9"/>
      <c r="O45" s="6"/>
      <c r="Q45" s="6"/>
    </row>
    <row r="46">
      <c r="A46" s="6"/>
      <c r="G46" s="9"/>
      <c r="H46" s="9"/>
      <c r="O46" s="6"/>
      <c r="Q46" s="6"/>
    </row>
    <row r="47">
      <c r="A47" s="6"/>
      <c r="G47" s="9"/>
      <c r="H47" s="9"/>
      <c r="O47" s="6"/>
      <c r="Q47" s="6"/>
    </row>
    <row r="48">
      <c r="A48" s="6"/>
      <c r="G48" s="9"/>
      <c r="H48" s="9"/>
      <c r="O48" s="6"/>
      <c r="Q48" s="6"/>
    </row>
    <row r="49">
      <c r="A49" s="6"/>
      <c r="G49" s="9"/>
      <c r="H49" s="9"/>
      <c r="O49" s="6"/>
      <c r="Q49" s="6"/>
    </row>
    <row r="50">
      <c r="A50" s="6"/>
      <c r="G50" s="9"/>
      <c r="H50" s="9"/>
      <c r="O50" s="6"/>
      <c r="Q50" s="6"/>
    </row>
    <row r="51">
      <c r="A51" s="6"/>
      <c r="G51" s="9"/>
      <c r="H51" s="9"/>
      <c r="O51" s="6"/>
      <c r="Q51" s="6"/>
    </row>
    <row r="52">
      <c r="A52" s="6"/>
      <c r="G52" s="9"/>
      <c r="H52" s="9"/>
      <c r="O52" s="6"/>
      <c r="Q52" s="6"/>
    </row>
    <row r="53">
      <c r="A53" s="6"/>
      <c r="G53" s="9"/>
      <c r="H53" s="9"/>
      <c r="O53" s="6"/>
      <c r="Q53" s="6"/>
    </row>
    <row r="54">
      <c r="A54" s="6"/>
      <c r="G54" s="9"/>
      <c r="H54" s="9"/>
      <c r="O54" s="6"/>
      <c r="Q54" s="6"/>
    </row>
    <row r="55">
      <c r="A55" s="6"/>
      <c r="G55" s="9"/>
      <c r="H55" s="9"/>
      <c r="O55" s="6"/>
      <c r="Q55" s="6"/>
    </row>
    <row r="56">
      <c r="A56" s="6"/>
      <c r="G56" s="9"/>
      <c r="H56" s="9"/>
      <c r="O56" s="6"/>
      <c r="Q56" s="6"/>
    </row>
    <row r="57">
      <c r="A57" s="6"/>
      <c r="G57" s="9"/>
      <c r="H57" s="9"/>
      <c r="O57" s="6"/>
      <c r="Q57" s="6"/>
    </row>
    <row r="58">
      <c r="A58" s="6"/>
      <c r="G58" s="9"/>
      <c r="H58" s="9"/>
      <c r="O58" s="6"/>
      <c r="Q58" s="6"/>
    </row>
    <row r="59">
      <c r="A59" s="6"/>
      <c r="G59" s="9"/>
      <c r="H59" s="9"/>
      <c r="O59" s="6"/>
      <c r="Q59" s="6"/>
    </row>
    <row r="60">
      <c r="A60" s="6"/>
      <c r="G60" s="9"/>
      <c r="H60" s="9"/>
      <c r="O60" s="6"/>
      <c r="Q60" s="6"/>
    </row>
    <row r="61">
      <c r="A61" s="6"/>
      <c r="G61" s="9"/>
      <c r="H61" s="9"/>
      <c r="O61" s="6"/>
      <c r="Q61" s="6"/>
    </row>
    <row r="62">
      <c r="A62" s="6"/>
      <c r="G62" s="9"/>
      <c r="H62" s="9"/>
      <c r="O62" s="6"/>
      <c r="Q62" s="6"/>
    </row>
    <row r="63">
      <c r="A63" s="6"/>
      <c r="G63" s="9"/>
      <c r="H63" s="9"/>
      <c r="O63" s="6"/>
      <c r="Q63" s="6"/>
    </row>
    <row r="64">
      <c r="A64" s="6"/>
      <c r="G64" s="9"/>
      <c r="H64" s="9"/>
      <c r="O64" s="6"/>
      <c r="Q64" s="6"/>
    </row>
    <row r="65">
      <c r="A65" s="6"/>
      <c r="G65" s="9"/>
      <c r="H65" s="9"/>
      <c r="O65" s="6"/>
      <c r="Q65" s="6"/>
    </row>
    <row r="66">
      <c r="A66" s="6"/>
      <c r="G66" s="9"/>
      <c r="H66" s="9"/>
      <c r="O66" s="6"/>
      <c r="Q66" s="6"/>
    </row>
    <row r="67">
      <c r="A67" s="6"/>
      <c r="G67" s="9"/>
      <c r="H67" s="9"/>
      <c r="O67" s="6"/>
      <c r="Q67" s="6"/>
    </row>
    <row r="68">
      <c r="A68" s="6"/>
      <c r="G68" s="9"/>
      <c r="H68" s="9"/>
      <c r="O68" s="6"/>
      <c r="Q68" s="6"/>
    </row>
    <row r="69">
      <c r="A69" s="6"/>
      <c r="G69" s="9"/>
      <c r="H69" s="9"/>
      <c r="O69" s="6"/>
      <c r="Q69" s="6"/>
    </row>
    <row r="70">
      <c r="A70" s="6"/>
      <c r="G70" s="9"/>
      <c r="H70" s="9"/>
      <c r="O70" s="6"/>
      <c r="Q70" s="6"/>
    </row>
    <row r="71">
      <c r="A71" s="6"/>
      <c r="G71" s="9"/>
      <c r="H71" s="9"/>
      <c r="O71" s="6"/>
      <c r="Q71" s="6"/>
    </row>
    <row r="72">
      <c r="A72" s="6"/>
      <c r="G72" s="9"/>
      <c r="H72" s="9"/>
      <c r="O72" s="6"/>
      <c r="Q72" s="6"/>
    </row>
    <row r="73">
      <c r="A73" s="6"/>
      <c r="G73" s="9"/>
      <c r="H73" s="9"/>
      <c r="O73" s="6"/>
      <c r="Q73" s="6"/>
    </row>
    <row r="74">
      <c r="A74" s="6"/>
      <c r="G74" s="9"/>
      <c r="H74" s="9"/>
      <c r="O74" s="6"/>
      <c r="Q74" s="6"/>
    </row>
    <row r="75">
      <c r="A75" s="6"/>
      <c r="G75" s="9"/>
      <c r="H75" s="9"/>
      <c r="O75" s="6"/>
      <c r="Q75" s="6"/>
    </row>
    <row r="76">
      <c r="A76" s="6"/>
      <c r="G76" s="9"/>
      <c r="H76" s="9"/>
      <c r="O76" s="6"/>
      <c r="Q76" s="6"/>
    </row>
    <row r="77">
      <c r="A77" s="6"/>
      <c r="G77" s="9"/>
      <c r="H77" s="9"/>
      <c r="O77" s="6"/>
      <c r="Q77" s="6"/>
    </row>
    <row r="78">
      <c r="A78" s="6"/>
      <c r="G78" s="9"/>
      <c r="H78" s="9"/>
      <c r="O78" s="6"/>
      <c r="Q78" s="6"/>
    </row>
    <row r="79">
      <c r="A79" s="6"/>
      <c r="G79" s="9"/>
      <c r="H79" s="9"/>
      <c r="O79" s="6"/>
      <c r="Q79" s="6"/>
    </row>
    <row r="80">
      <c r="A80" s="6"/>
      <c r="G80" s="9"/>
      <c r="H80" s="9"/>
      <c r="O80" s="6"/>
      <c r="Q80" s="6"/>
    </row>
    <row r="81">
      <c r="A81" s="6"/>
      <c r="G81" s="9"/>
      <c r="H81" s="9"/>
      <c r="O81" s="6"/>
      <c r="Q81" s="6"/>
    </row>
    <row r="82">
      <c r="A82" s="6"/>
      <c r="G82" s="9"/>
      <c r="H82" s="9"/>
      <c r="O82" s="6"/>
      <c r="Q82" s="6"/>
    </row>
    <row r="83">
      <c r="A83" s="6"/>
      <c r="G83" s="9"/>
      <c r="H83" s="9"/>
      <c r="O83" s="6"/>
      <c r="Q83" s="6"/>
    </row>
    <row r="84">
      <c r="A84" s="6"/>
      <c r="G84" s="9"/>
      <c r="H84" s="9"/>
      <c r="O84" s="6"/>
      <c r="Q84" s="6"/>
    </row>
    <row r="85">
      <c r="A85" s="6"/>
      <c r="G85" s="9"/>
      <c r="H85" s="9"/>
      <c r="O85" s="6"/>
      <c r="Q85" s="6"/>
    </row>
    <row r="86">
      <c r="A86" s="6"/>
      <c r="G86" s="9"/>
      <c r="H86" s="9"/>
      <c r="O86" s="6"/>
      <c r="Q86" s="6"/>
    </row>
    <row r="87">
      <c r="A87" s="6"/>
      <c r="G87" s="9"/>
      <c r="H87" s="9"/>
      <c r="O87" s="6"/>
      <c r="Q87" s="6"/>
    </row>
    <row r="88">
      <c r="A88" s="6"/>
      <c r="G88" s="9"/>
      <c r="H88" s="9"/>
      <c r="O88" s="6"/>
      <c r="Q88" s="6"/>
    </row>
    <row r="89">
      <c r="A89" s="6"/>
      <c r="G89" s="9"/>
      <c r="H89" s="9"/>
      <c r="O89" s="6"/>
      <c r="Q89" s="6"/>
    </row>
    <row r="90">
      <c r="A90" s="6"/>
      <c r="G90" s="9"/>
      <c r="H90" s="9"/>
      <c r="O90" s="6"/>
      <c r="Q90" s="6"/>
    </row>
    <row r="91">
      <c r="A91" s="6"/>
      <c r="G91" s="9"/>
      <c r="H91" s="9"/>
      <c r="O91" s="6"/>
      <c r="Q91" s="6"/>
    </row>
    <row r="92">
      <c r="A92" s="6"/>
      <c r="G92" s="9"/>
      <c r="H92" s="9"/>
      <c r="O92" s="6"/>
      <c r="Q92" s="6"/>
    </row>
    <row r="93">
      <c r="A93" s="6"/>
      <c r="G93" s="9"/>
      <c r="H93" s="9"/>
      <c r="O93" s="6"/>
      <c r="Q93" s="6"/>
    </row>
    <row r="94">
      <c r="A94" s="6"/>
      <c r="G94" s="9"/>
      <c r="H94" s="9"/>
      <c r="O94" s="6"/>
      <c r="Q94" s="6"/>
    </row>
    <row r="95">
      <c r="A95" s="6"/>
      <c r="G95" s="9"/>
      <c r="H95" s="9"/>
      <c r="O95" s="6"/>
      <c r="Q95" s="6"/>
    </row>
    <row r="96">
      <c r="A96" s="6"/>
      <c r="G96" s="9"/>
      <c r="H96" s="9"/>
      <c r="O96" s="6"/>
      <c r="Q96" s="6"/>
    </row>
    <row r="97">
      <c r="A97" s="6"/>
      <c r="G97" s="9"/>
      <c r="H97" s="9"/>
      <c r="O97" s="6"/>
      <c r="Q97" s="6"/>
    </row>
    <row r="98">
      <c r="A98" s="6"/>
      <c r="G98" s="9"/>
      <c r="H98" s="9"/>
      <c r="O98" s="6"/>
      <c r="Q98" s="6"/>
    </row>
    <row r="99">
      <c r="A99" s="6"/>
      <c r="G99" s="9"/>
      <c r="H99" s="9"/>
      <c r="O99" s="6"/>
      <c r="Q99" s="6"/>
    </row>
    <row r="100">
      <c r="A100" s="6"/>
      <c r="G100" s="9"/>
      <c r="H100" s="9"/>
      <c r="O100" s="6"/>
      <c r="Q100" s="6"/>
    </row>
    <row r="101">
      <c r="A101" s="6"/>
      <c r="G101" s="9"/>
      <c r="H101" s="9"/>
      <c r="O101" s="6"/>
      <c r="Q101" s="6"/>
    </row>
    <row r="102">
      <c r="A102" s="6"/>
      <c r="G102" s="9"/>
      <c r="H102" s="9"/>
      <c r="O102" s="6"/>
      <c r="Q102" s="6"/>
    </row>
    <row r="103">
      <c r="A103" s="6"/>
      <c r="G103" s="9"/>
      <c r="H103" s="9"/>
      <c r="O103" s="6"/>
      <c r="Q103" s="6"/>
    </row>
    <row r="104">
      <c r="A104" s="6"/>
      <c r="G104" s="9"/>
      <c r="H104" s="9"/>
      <c r="O104" s="6"/>
      <c r="Q104" s="6"/>
    </row>
    <row r="105">
      <c r="A105" s="6"/>
      <c r="G105" s="9"/>
      <c r="H105" s="9"/>
      <c r="O105" s="6"/>
      <c r="Q105" s="6"/>
    </row>
    <row r="106">
      <c r="A106" s="6"/>
      <c r="G106" s="9"/>
      <c r="H106" s="9"/>
      <c r="O106" s="6"/>
      <c r="Q106" s="6"/>
    </row>
    <row r="107">
      <c r="A107" s="6"/>
      <c r="G107" s="9"/>
      <c r="H107" s="9"/>
      <c r="O107" s="6"/>
      <c r="Q107" s="6"/>
    </row>
    <row r="108">
      <c r="A108" s="6"/>
      <c r="G108" s="9"/>
      <c r="H108" s="9"/>
      <c r="O108" s="6"/>
      <c r="Q108" s="6"/>
    </row>
    <row r="109">
      <c r="A109" s="6"/>
      <c r="G109" s="9"/>
      <c r="H109" s="9"/>
      <c r="O109" s="6"/>
      <c r="Q109" s="6"/>
    </row>
    <row r="110">
      <c r="A110" s="6"/>
      <c r="G110" s="9"/>
      <c r="H110" s="9"/>
      <c r="O110" s="6"/>
      <c r="Q110" s="6"/>
    </row>
    <row r="111">
      <c r="A111" s="6"/>
      <c r="G111" s="9"/>
      <c r="H111" s="9"/>
      <c r="O111" s="6"/>
      <c r="Q111" s="6"/>
    </row>
    <row r="112">
      <c r="A112" s="6"/>
      <c r="G112" s="9"/>
      <c r="H112" s="9"/>
      <c r="O112" s="6"/>
      <c r="Q112" s="6"/>
    </row>
    <row r="113">
      <c r="A113" s="6"/>
      <c r="G113" s="9"/>
      <c r="H113" s="9"/>
      <c r="O113" s="6"/>
      <c r="Q113" s="6"/>
    </row>
    <row r="114">
      <c r="A114" s="6"/>
      <c r="G114" s="9"/>
      <c r="H114" s="9"/>
      <c r="O114" s="6"/>
      <c r="Q114" s="6"/>
    </row>
    <row r="115">
      <c r="A115" s="6"/>
      <c r="G115" s="9"/>
      <c r="H115" s="9"/>
      <c r="O115" s="6"/>
      <c r="Q115" s="6"/>
    </row>
    <row r="116">
      <c r="A116" s="6"/>
      <c r="G116" s="9"/>
      <c r="H116" s="9"/>
      <c r="O116" s="6"/>
      <c r="Q116" s="6"/>
    </row>
    <row r="117">
      <c r="A117" s="6"/>
      <c r="G117" s="9"/>
      <c r="H117" s="9"/>
      <c r="O117" s="6"/>
      <c r="Q117" s="6"/>
    </row>
    <row r="118">
      <c r="A118" s="6"/>
      <c r="G118" s="9"/>
      <c r="H118" s="9"/>
      <c r="O118" s="6"/>
      <c r="Q118" s="6"/>
    </row>
    <row r="119">
      <c r="A119" s="6"/>
      <c r="G119" s="9"/>
      <c r="H119" s="9"/>
      <c r="O119" s="6"/>
      <c r="Q119" s="6"/>
    </row>
    <row r="120">
      <c r="A120" s="6"/>
      <c r="G120" s="9"/>
      <c r="H120" s="9"/>
      <c r="O120" s="6"/>
      <c r="Q120" s="6"/>
    </row>
    <row r="121">
      <c r="A121" s="6"/>
      <c r="G121" s="9"/>
      <c r="H121" s="9"/>
      <c r="O121" s="6"/>
      <c r="Q121" s="6"/>
    </row>
    <row r="122">
      <c r="A122" s="6"/>
      <c r="G122" s="9"/>
      <c r="H122" s="9"/>
      <c r="O122" s="6"/>
      <c r="Q122" s="6"/>
    </row>
    <row r="123">
      <c r="A123" s="6"/>
      <c r="G123" s="9"/>
      <c r="H123" s="9"/>
      <c r="O123" s="6"/>
      <c r="Q123" s="6"/>
    </row>
    <row r="124">
      <c r="A124" s="6"/>
      <c r="G124" s="9"/>
      <c r="H124" s="9"/>
      <c r="O124" s="6"/>
      <c r="Q124" s="6"/>
    </row>
    <row r="125">
      <c r="A125" s="6"/>
      <c r="G125" s="9"/>
      <c r="H125" s="9"/>
      <c r="O125" s="6"/>
      <c r="Q125" s="6"/>
    </row>
    <row r="126">
      <c r="A126" s="6"/>
      <c r="G126" s="9"/>
      <c r="H126" s="9"/>
      <c r="O126" s="6"/>
      <c r="Q126" s="6"/>
    </row>
    <row r="127">
      <c r="A127" s="6"/>
      <c r="G127" s="9"/>
      <c r="H127" s="9"/>
      <c r="O127" s="6"/>
      <c r="Q127" s="6"/>
    </row>
    <row r="128">
      <c r="A128" s="6"/>
      <c r="G128" s="9"/>
      <c r="H128" s="9"/>
      <c r="O128" s="6"/>
      <c r="Q128" s="6"/>
    </row>
    <row r="129">
      <c r="A129" s="6"/>
      <c r="G129" s="9"/>
      <c r="H129" s="9"/>
      <c r="O129" s="6"/>
      <c r="Q129" s="6"/>
    </row>
    <row r="130">
      <c r="A130" s="6"/>
      <c r="G130" s="9"/>
      <c r="H130" s="9"/>
      <c r="O130" s="6"/>
      <c r="Q130" s="6"/>
    </row>
    <row r="131">
      <c r="A131" s="6"/>
      <c r="G131" s="9"/>
      <c r="H131" s="9"/>
      <c r="O131" s="6"/>
      <c r="Q131" s="6"/>
    </row>
    <row r="132">
      <c r="A132" s="6"/>
      <c r="G132" s="9"/>
      <c r="H132" s="9"/>
      <c r="O132" s="6"/>
      <c r="Q132" s="6"/>
    </row>
    <row r="133">
      <c r="A133" s="6"/>
      <c r="G133" s="9"/>
      <c r="H133" s="9"/>
      <c r="O133" s="6"/>
      <c r="Q133" s="6"/>
    </row>
    <row r="134">
      <c r="A134" s="6"/>
      <c r="G134" s="9"/>
      <c r="H134" s="9"/>
      <c r="O134" s="6"/>
      <c r="Q134" s="6"/>
    </row>
    <row r="135">
      <c r="A135" s="6"/>
      <c r="G135" s="9"/>
      <c r="H135" s="9"/>
      <c r="O135" s="6"/>
      <c r="Q135" s="6"/>
    </row>
    <row r="136">
      <c r="A136" s="6"/>
      <c r="G136" s="9"/>
      <c r="H136" s="9"/>
      <c r="O136" s="6"/>
      <c r="Q136" s="6"/>
    </row>
    <row r="137">
      <c r="A137" s="6"/>
      <c r="G137" s="9"/>
      <c r="H137" s="9"/>
      <c r="O137" s="6"/>
      <c r="Q137" s="6"/>
    </row>
    <row r="138">
      <c r="A138" s="6"/>
      <c r="G138" s="9"/>
      <c r="H138" s="9"/>
      <c r="O138" s="6"/>
      <c r="Q138" s="6"/>
    </row>
    <row r="139">
      <c r="A139" s="6"/>
      <c r="G139" s="9"/>
      <c r="H139" s="9"/>
      <c r="O139" s="6"/>
      <c r="Q139" s="6"/>
    </row>
    <row r="140">
      <c r="A140" s="6"/>
      <c r="G140" s="9"/>
      <c r="H140" s="9"/>
      <c r="O140" s="6"/>
      <c r="Q140" s="6"/>
    </row>
    <row r="141">
      <c r="A141" s="6"/>
      <c r="G141" s="9"/>
      <c r="H141" s="9"/>
      <c r="O141" s="6"/>
      <c r="Q141" s="6"/>
    </row>
    <row r="142">
      <c r="A142" s="6"/>
      <c r="G142" s="9"/>
      <c r="H142" s="9"/>
      <c r="O142" s="6"/>
      <c r="Q142" s="6"/>
    </row>
    <row r="143">
      <c r="A143" s="6"/>
      <c r="G143" s="9"/>
      <c r="H143" s="9"/>
      <c r="O143" s="6"/>
      <c r="Q143" s="6"/>
    </row>
    <row r="144">
      <c r="A144" s="6"/>
      <c r="G144" s="9"/>
      <c r="H144" s="9"/>
      <c r="O144" s="6"/>
      <c r="Q144" s="6"/>
    </row>
    <row r="145">
      <c r="A145" s="6"/>
      <c r="G145" s="9"/>
      <c r="H145" s="9"/>
      <c r="O145" s="6"/>
      <c r="Q145" s="6"/>
    </row>
    <row r="146">
      <c r="A146" s="6"/>
      <c r="G146" s="9"/>
      <c r="H146" s="9"/>
      <c r="O146" s="6"/>
      <c r="Q146" s="6"/>
    </row>
    <row r="147">
      <c r="A147" s="6"/>
      <c r="G147" s="9"/>
      <c r="H147" s="9"/>
      <c r="O147" s="6"/>
      <c r="Q147" s="6"/>
    </row>
    <row r="148">
      <c r="A148" s="6"/>
      <c r="G148" s="9"/>
      <c r="H148" s="9"/>
      <c r="O148" s="6"/>
      <c r="Q148" s="6"/>
    </row>
    <row r="149">
      <c r="A149" s="6"/>
      <c r="G149" s="9"/>
      <c r="H149" s="9"/>
      <c r="O149" s="6"/>
      <c r="Q149" s="6"/>
    </row>
    <row r="150">
      <c r="A150" s="6"/>
      <c r="G150" s="9"/>
      <c r="H150" s="9"/>
      <c r="O150" s="6"/>
      <c r="Q150" s="6"/>
    </row>
    <row r="151">
      <c r="A151" s="6"/>
      <c r="G151" s="9"/>
      <c r="H151" s="9"/>
      <c r="O151" s="6"/>
      <c r="Q151" s="6"/>
    </row>
    <row r="152">
      <c r="A152" s="6"/>
      <c r="G152" s="9"/>
      <c r="H152" s="9"/>
      <c r="O152" s="6"/>
      <c r="Q152" s="6"/>
    </row>
    <row r="153">
      <c r="A153" s="6"/>
      <c r="G153" s="9"/>
      <c r="H153" s="9"/>
      <c r="O153" s="6"/>
      <c r="Q153" s="6"/>
    </row>
    <row r="154">
      <c r="A154" s="6"/>
      <c r="G154" s="9"/>
      <c r="H154" s="9"/>
      <c r="O154" s="6"/>
      <c r="Q154" s="6"/>
    </row>
    <row r="155">
      <c r="A155" s="6"/>
      <c r="G155" s="9"/>
      <c r="H155" s="9"/>
      <c r="O155" s="6"/>
      <c r="Q155" s="6"/>
    </row>
    <row r="156">
      <c r="A156" s="6"/>
      <c r="G156" s="9"/>
      <c r="H156" s="9"/>
      <c r="O156" s="6"/>
      <c r="Q156" s="6"/>
    </row>
    <row r="157">
      <c r="A157" s="6"/>
      <c r="G157" s="9"/>
      <c r="H157" s="9"/>
      <c r="O157" s="6"/>
      <c r="Q157" s="6"/>
    </row>
    <row r="158">
      <c r="A158" s="6"/>
      <c r="G158" s="9"/>
      <c r="H158" s="9"/>
      <c r="O158" s="6"/>
      <c r="Q158" s="6"/>
    </row>
    <row r="159">
      <c r="A159" s="6"/>
      <c r="G159" s="9"/>
      <c r="H159" s="9"/>
      <c r="O159" s="6"/>
      <c r="Q159" s="6"/>
    </row>
    <row r="160">
      <c r="A160" s="6"/>
      <c r="G160" s="9"/>
      <c r="H160" s="9"/>
      <c r="O160" s="6"/>
      <c r="Q160" s="6"/>
    </row>
    <row r="161">
      <c r="A161" s="6"/>
      <c r="G161" s="9"/>
      <c r="H161" s="9"/>
      <c r="O161" s="6"/>
      <c r="Q161" s="6"/>
    </row>
    <row r="162">
      <c r="A162" s="6"/>
      <c r="G162" s="9"/>
      <c r="H162" s="9"/>
      <c r="O162" s="6"/>
      <c r="Q162" s="6"/>
    </row>
    <row r="163">
      <c r="A163" s="6"/>
      <c r="G163" s="9"/>
      <c r="H163" s="9"/>
      <c r="O163" s="6"/>
      <c r="Q163" s="6"/>
    </row>
    <row r="164">
      <c r="A164" s="6"/>
      <c r="G164" s="9"/>
      <c r="H164" s="9"/>
      <c r="O164" s="6"/>
      <c r="Q164" s="6"/>
    </row>
    <row r="165">
      <c r="A165" s="6"/>
      <c r="G165" s="9"/>
      <c r="H165" s="9"/>
      <c r="O165" s="6"/>
      <c r="Q165" s="6"/>
    </row>
    <row r="166">
      <c r="A166" s="6"/>
      <c r="G166" s="9"/>
      <c r="H166" s="9"/>
      <c r="O166" s="6"/>
      <c r="Q166" s="6"/>
    </row>
    <row r="167">
      <c r="A167" s="6"/>
      <c r="G167" s="9"/>
      <c r="H167" s="9"/>
      <c r="O167" s="6"/>
      <c r="Q167" s="6"/>
    </row>
    <row r="168">
      <c r="A168" s="6"/>
      <c r="G168" s="9"/>
      <c r="H168" s="9"/>
      <c r="O168" s="6"/>
      <c r="Q168" s="6"/>
    </row>
    <row r="169">
      <c r="A169" s="6"/>
      <c r="G169" s="9"/>
      <c r="H169" s="9"/>
      <c r="O169" s="6"/>
      <c r="Q169" s="6"/>
    </row>
    <row r="170">
      <c r="A170" s="6"/>
      <c r="G170" s="9"/>
      <c r="H170" s="9"/>
      <c r="O170" s="6"/>
      <c r="Q170" s="6"/>
    </row>
    <row r="171">
      <c r="A171" s="6"/>
      <c r="G171" s="9"/>
      <c r="H171" s="9"/>
      <c r="O171" s="6"/>
      <c r="Q171" s="6"/>
    </row>
    <row r="172">
      <c r="A172" s="6"/>
      <c r="G172" s="9"/>
      <c r="H172" s="9"/>
      <c r="O172" s="6"/>
      <c r="Q172" s="6"/>
    </row>
    <row r="173">
      <c r="A173" s="6"/>
      <c r="G173" s="9"/>
      <c r="H173" s="9"/>
      <c r="O173" s="6"/>
      <c r="Q173" s="6"/>
    </row>
    <row r="174">
      <c r="A174" s="6"/>
      <c r="G174" s="9"/>
      <c r="H174" s="9"/>
      <c r="O174" s="6"/>
      <c r="Q174" s="6"/>
    </row>
    <row r="175">
      <c r="A175" s="6"/>
      <c r="G175" s="9"/>
      <c r="H175" s="9"/>
      <c r="O175" s="6"/>
      <c r="Q175" s="6"/>
    </row>
    <row r="176">
      <c r="A176" s="6"/>
      <c r="G176" s="9"/>
      <c r="H176" s="9"/>
      <c r="O176" s="6"/>
      <c r="Q176" s="6"/>
    </row>
    <row r="177">
      <c r="A177" s="6"/>
      <c r="G177" s="9"/>
      <c r="H177" s="9"/>
      <c r="O177" s="6"/>
      <c r="Q177" s="6"/>
    </row>
    <row r="178">
      <c r="A178" s="6"/>
      <c r="G178" s="9"/>
      <c r="H178" s="9"/>
      <c r="O178" s="6"/>
      <c r="Q178" s="6"/>
    </row>
    <row r="179">
      <c r="A179" s="6"/>
      <c r="G179" s="9"/>
      <c r="H179" s="9"/>
      <c r="O179" s="6"/>
      <c r="Q179" s="6"/>
    </row>
    <row r="180">
      <c r="A180" s="6"/>
      <c r="G180" s="9"/>
      <c r="H180" s="9"/>
      <c r="O180" s="6"/>
      <c r="Q180" s="6"/>
    </row>
    <row r="181">
      <c r="A181" s="6"/>
      <c r="G181" s="9"/>
      <c r="H181" s="9"/>
      <c r="O181" s="6"/>
      <c r="Q181" s="6"/>
    </row>
    <row r="182">
      <c r="A182" s="6"/>
      <c r="G182" s="9"/>
      <c r="H182" s="9"/>
      <c r="O182" s="6"/>
      <c r="Q182" s="6"/>
    </row>
    <row r="183">
      <c r="A183" s="6"/>
      <c r="G183" s="9"/>
      <c r="H183" s="9"/>
      <c r="O183" s="6"/>
      <c r="Q183" s="6"/>
    </row>
    <row r="184">
      <c r="A184" s="6"/>
      <c r="G184" s="9"/>
      <c r="H184" s="9"/>
      <c r="O184" s="6"/>
      <c r="Q184" s="6"/>
    </row>
    <row r="185">
      <c r="A185" s="6"/>
      <c r="G185" s="9"/>
      <c r="H185" s="9"/>
      <c r="O185" s="6"/>
      <c r="Q185" s="6"/>
    </row>
    <row r="186">
      <c r="A186" s="6"/>
      <c r="G186" s="9"/>
      <c r="H186" s="9"/>
      <c r="O186" s="6"/>
      <c r="Q186" s="6"/>
    </row>
    <row r="187">
      <c r="A187" s="6"/>
      <c r="G187" s="9"/>
      <c r="H187" s="9"/>
      <c r="O187" s="6"/>
      <c r="Q187" s="6"/>
    </row>
    <row r="188">
      <c r="A188" s="6"/>
      <c r="G188" s="9"/>
      <c r="H188" s="9"/>
      <c r="O188" s="6"/>
      <c r="Q188" s="6"/>
    </row>
    <row r="189">
      <c r="A189" s="6"/>
      <c r="G189" s="9"/>
      <c r="H189" s="9"/>
      <c r="O189" s="6"/>
      <c r="Q189" s="6"/>
    </row>
    <row r="190">
      <c r="A190" s="6"/>
      <c r="G190" s="9"/>
      <c r="H190" s="9"/>
      <c r="O190" s="6"/>
      <c r="Q190" s="6"/>
    </row>
    <row r="191">
      <c r="A191" s="6"/>
      <c r="G191" s="9"/>
      <c r="H191" s="9"/>
      <c r="O191" s="6"/>
      <c r="Q191" s="6"/>
    </row>
    <row r="192">
      <c r="A192" s="6"/>
      <c r="G192" s="9"/>
      <c r="H192" s="9"/>
      <c r="O192" s="6"/>
      <c r="Q192" s="6"/>
    </row>
    <row r="193">
      <c r="A193" s="6"/>
      <c r="G193" s="9"/>
      <c r="H193" s="9"/>
      <c r="O193" s="6"/>
      <c r="Q193" s="6"/>
    </row>
    <row r="194">
      <c r="A194" s="6"/>
      <c r="G194" s="9"/>
      <c r="H194" s="9"/>
      <c r="O194" s="6"/>
      <c r="Q194" s="6"/>
    </row>
    <row r="195">
      <c r="A195" s="6"/>
      <c r="G195" s="9"/>
      <c r="H195" s="9"/>
      <c r="O195" s="6"/>
      <c r="Q195" s="6"/>
    </row>
    <row r="196">
      <c r="A196" s="6"/>
      <c r="G196" s="9"/>
      <c r="H196" s="9"/>
      <c r="O196" s="6"/>
      <c r="Q196" s="6"/>
    </row>
    <row r="197">
      <c r="A197" s="6"/>
      <c r="G197" s="9"/>
      <c r="H197" s="9"/>
      <c r="O197" s="6"/>
      <c r="Q197" s="6"/>
    </row>
    <row r="198">
      <c r="A198" s="6"/>
      <c r="G198" s="9"/>
      <c r="H198" s="9"/>
      <c r="O198" s="6"/>
      <c r="Q198" s="6"/>
    </row>
    <row r="199">
      <c r="A199" s="6"/>
      <c r="G199" s="9"/>
      <c r="H199" s="9"/>
      <c r="O199" s="6"/>
      <c r="Q199" s="6"/>
    </row>
    <row r="200">
      <c r="A200" s="6"/>
      <c r="G200" s="9"/>
      <c r="H200" s="9"/>
      <c r="O200" s="6"/>
      <c r="Q200" s="6"/>
    </row>
    <row r="201">
      <c r="A201" s="6"/>
      <c r="G201" s="9"/>
      <c r="H201" s="9"/>
      <c r="O201" s="6"/>
      <c r="Q201" s="6"/>
    </row>
    <row r="202">
      <c r="A202" s="6"/>
      <c r="G202" s="9"/>
      <c r="H202" s="9"/>
      <c r="O202" s="6"/>
      <c r="Q202" s="6"/>
    </row>
    <row r="203">
      <c r="A203" s="6"/>
      <c r="G203" s="9"/>
      <c r="H203" s="9"/>
      <c r="O203" s="6"/>
      <c r="Q203" s="6"/>
    </row>
    <row r="204">
      <c r="A204" s="6"/>
      <c r="G204" s="9"/>
      <c r="H204" s="9"/>
      <c r="O204" s="6"/>
      <c r="Q204" s="6"/>
    </row>
    <row r="205">
      <c r="A205" s="6"/>
      <c r="G205" s="9"/>
      <c r="H205" s="9"/>
      <c r="O205" s="6"/>
      <c r="Q205" s="6"/>
    </row>
    <row r="206">
      <c r="A206" s="6"/>
      <c r="G206" s="9"/>
      <c r="H206" s="9"/>
      <c r="O206" s="6"/>
      <c r="Q206" s="6"/>
    </row>
    <row r="207">
      <c r="A207" s="6"/>
      <c r="G207" s="9"/>
      <c r="H207" s="9"/>
      <c r="O207" s="6"/>
      <c r="Q207" s="6"/>
    </row>
    <row r="208">
      <c r="A208" s="6"/>
      <c r="G208" s="9"/>
      <c r="H208" s="9"/>
      <c r="O208" s="6"/>
      <c r="Q208" s="6"/>
    </row>
    <row r="209">
      <c r="A209" s="6"/>
      <c r="G209" s="9"/>
      <c r="H209" s="9"/>
      <c r="O209" s="6"/>
      <c r="Q209" s="6"/>
    </row>
    <row r="210">
      <c r="A210" s="6"/>
      <c r="G210" s="9"/>
      <c r="H210" s="9"/>
      <c r="O210" s="6"/>
      <c r="Q210" s="6"/>
    </row>
    <row r="211">
      <c r="A211" s="6"/>
      <c r="G211" s="9"/>
      <c r="H211" s="9"/>
      <c r="O211" s="6"/>
      <c r="Q211" s="6"/>
    </row>
    <row r="212">
      <c r="A212" s="6"/>
      <c r="G212" s="9"/>
      <c r="H212" s="9"/>
      <c r="O212" s="6"/>
      <c r="Q212" s="6"/>
    </row>
    <row r="213">
      <c r="A213" s="6"/>
      <c r="G213" s="9"/>
      <c r="H213" s="9"/>
      <c r="O213" s="6"/>
      <c r="Q213" s="6"/>
    </row>
    <row r="214">
      <c r="A214" s="6"/>
      <c r="G214" s="9"/>
      <c r="H214" s="9"/>
      <c r="O214" s="6"/>
      <c r="Q214" s="6"/>
    </row>
    <row r="215">
      <c r="A215" s="6"/>
      <c r="G215" s="9"/>
      <c r="H215" s="9"/>
      <c r="O215" s="6"/>
      <c r="Q215" s="6"/>
    </row>
    <row r="216">
      <c r="A216" s="6"/>
      <c r="G216" s="9"/>
      <c r="H216" s="9"/>
      <c r="O216" s="6"/>
      <c r="Q216" s="6"/>
    </row>
    <row r="217">
      <c r="A217" s="6"/>
      <c r="G217" s="9"/>
      <c r="H217" s="9"/>
      <c r="O217" s="6"/>
      <c r="Q217" s="6"/>
    </row>
    <row r="218">
      <c r="A218" s="6"/>
      <c r="G218" s="9"/>
      <c r="H218" s="9"/>
      <c r="O218" s="6"/>
      <c r="Q218" s="6"/>
    </row>
    <row r="219">
      <c r="A219" s="6"/>
      <c r="G219" s="9"/>
      <c r="H219" s="9"/>
      <c r="O219" s="6"/>
      <c r="Q219" s="6"/>
    </row>
    <row r="220">
      <c r="A220" s="6"/>
      <c r="G220" s="9"/>
      <c r="H220" s="9"/>
      <c r="O220" s="6"/>
      <c r="Q220" s="6"/>
    </row>
    <row r="221">
      <c r="A221" s="6"/>
      <c r="G221" s="9"/>
      <c r="H221" s="9"/>
      <c r="O221" s="6"/>
      <c r="Q221" s="6"/>
    </row>
    <row r="222">
      <c r="A222" s="6"/>
      <c r="G222" s="9"/>
      <c r="H222" s="9"/>
      <c r="O222" s="6"/>
      <c r="Q222" s="6"/>
    </row>
    <row r="223">
      <c r="A223" s="6"/>
      <c r="G223" s="9"/>
      <c r="H223" s="9"/>
      <c r="O223" s="6"/>
      <c r="Q223" s="6"/>
    </row>
    <row r="224">
      <c r="A224" s="6"/>
      <c r="G224" s="9"/>
      <c r="H224" s="9"/>
      <c r="O224" s="6"/>
      <c r="Q224" s="6"/>
    </row>
    <row r="225">
      <c r="A225" s="6"/>
      <c r="G225" s="9"/>
      <c r="H225" s="9"/>
      <c r="O225" s="6"/>
      <c r="Q225" s="6"/>
    </row>
    <row r="226">
      <c r="A226" s="6"/>
      <c r="G226" s="9"/>
      <c r="H226" s="9"/>
      <c r="O226" s="6"/>
      <c r="Q226" s="6"/>
    </row>
    <row r="227">
      <c r="A227" s="6"/>
      <c r="G227" s="9"/>
      <c r="H227" s="9"/>
      <c r="O227" s="6"/>
      <c r="Q227" s="6"/>
    </row>
    <row r="228">
      <c r="A228" s="6"/>
      <c r="G228" s="9"/>
      <c r="H228" s="9"/>
      <c r="O228" s="6"/>
      <c r="Q228" s="6"/>
    </row>
    <row r="229">
      <c r="A229" s="6"/>
      <c r="G229" s="9"/>
      <c r="H229" s="9"/>
      <c r="O229" s="6"/>
      <c r="Q229" s="6"/>
    </row>
    <row r="230">
      <c r="A230" s="6"/>
      <c r="G230" s="9"/>
      <c r="H230" s="9"/>
      <c r="O230" s="6"/>
      <c r="Q230" s="6"/>
    </row>
    <row r="231">
      <c r="A231" s="6"/>
      <c r="G231" s="9"/>
      <c r="H231" s="9"/>
      <c r="O231" s="6"/>
      <c r="Q231" s="6"/>
    </row>
    <row r="232">
      <c r="A232" s="6"/>
      <c r="G232" s="9"/>
      <c r="H232" s="9"/>
      <c r="O232" s="6"/>
      <c r="Q232" s="6"/>
    </row>
    <row r="233">
      <c r="A233" s="6"/>
      <c r="G233" s="9"/>
      <c r="H233" s="9"/>
      <c r="O233" s="6"/>
      <c r="Q233" s="6"/>
    </row>
    <row r="234">
      <c r="A234" s="6"/>
      <c r="G234" s="9"/>
      <c r="H234" s="9"/>
      <c r="O234" s="6"/>
      <c r="Q234" s="6"/>
    </row>
    <row r="235">
      <c r="A235" s="6"/>
      <c r="G235" s="9"/>
      <c r="H235" s="9"/>
      <c r="O235" s="6"/>
      <c r="Q235" s="6"/>
    </row>
    <row r="236">
      <c r="A236" s="6"/>
      <c r="G236" s="9"/>
      <c r="H236" s="9"/>
      <c r="O236" s="6"/>
      <c r="Q236" s="6"/>
    </row>
    <row r="237">
      <c r="A237" s="6"/>
      <c r="G237" s="9"/>
      <c r="H237" s="9"/>
      <c r="O237" s="6"/>
      <c r="Q237" s="6"/>
    </row>
    <row r="238">
      <c r="A238" s="6"/>
      <c r="G238" s="9"/>
      <c r="H238" s="9"/>
      <c r="O238" s="6"/>
      <c r="Q238" s="6"/>
    </row>
    <row r="239">
      <c r="A239" s="6"/>
      <c r="G239" s="9"/>
      <c r="H239" s="9"/>
      <c r="O239" s="6"/>
      <c r="Q239" s="6"/>
    </row>
    <row r="240">
      <c r="A240" s="6"/>
      <c r="G240" s="9"/>
      <c r="H240" s="9"/>
      <c r="O240" s="6"/>
      <c r="Q240" s="6"/>
    </row>
    <row r="241">
      <c r="A241" s="6"/>
      <c r="G241" s="9"/>
      <c r="H241" s="9"/>
      <c r="O241" s="6"/>
      <c r="Q241" s="6"/>
    </row>
    <row r="242">
      <c r="A242" s="6"/>
      <c r="G242" s="9"/>
      <c r="H242" s="9"/>
      <c r="O242" s="6"/>
      <c r="Q242" s="6"/>
    </row>
    <row r="243">
      <c r="A243" s="6"/>
      <c r="G243" s="9"/>
      <c r="H243" s="9"/>
      <c r="O243" s="6"/>
      <c r="Q243" s="6"/>
    </row>
    <row r="244">
      <c r="A244" s="6"/>
      <c r="G244" s="9"/>
      <c r="H244" s="9"/>
      <c r="O244" s="6"/>
      <c r="Q244" s="6"/>
    </row>
    <row r="245">
      <c r="A245" s="6"/>
      <c r="G245" s="9"/>
      <c r="H245" s="9"/>
      <c r="O245" s="6"/>
      <c r="Q245" s="6"/>
    </row>
    <row r="246">
      <c r="A246" s="6"/>
      <c r="G246" s="9"/>
      <c r="H246" s="9"/>
      <c r="O246" s="6"/>
      <c r="Q246" s="6"/>
    </row>
    <row r="247">
      <c r="A247" s="6"/>
      <c r="G247" s="9"/>
      <c r="H247" s="9"/>
      <c r="O247" s="6"/>
      <c r="Q247" s="6"/>
    </row>
    <row r="248">
      <c r="A248" s="6"/>
      <c r="G248" s="9"/>
      <c r="H248" s="9"/>
      <c r="O248" s="6"/>
      <c r="Q248" s="6"/>
    </row>
    <row r="249">
      <c r="A249" s="6"/>
      <c r="G249" s="9"/>
      <c r="H249" s="9"/>
      <c r="O249" s="6"/>
      <c r="Q249" s="6"/>
    </row>
    <row r="250">
      <c r="A250" s="6"/>
      <c r="G250" s="9"/>
      <c r="H250" s="9"/>
      <c r="O250" s="6"/>
      <c r="Q250" s="6"/>
    </row>
    <row r="251">
      <c r="A251" s="6"/>
      <c r="G251" s="9"/>
      <c r="H251" s="9"/>
      <c r="O251" s="6"/>
      <c r="Q251" s="6"/>
    </row>
    <row r="252">
      <c r="A252" s="6"/>
      <c r="G252" s="9"/>
      <c r="H252" s="9"/>
      <c r="O252" s="6"/>
      <c r="Q252" s="6"/>
    </row>
    <row r="253">
      <c r="A253" s="6"/>
      <c r="G253" s="9"/>
      <c r="H253" s="9"/>
      <c r="O253" s="6"/>
      <c r="Q253" s="6"/>
    </row>
    <row r="254">
      <c r="A254" s="6"/>
      <c r="G254" s="9"/>
      <c r="H254" s="9"/>
      <c r="O254" s="6"/>
      <c r="Q254" s="6"/>
    </row>
    <row r="255">
      <c r="A255" s="6"/>
      <c r="G255" s="9"/>
      <c r="H255" s="9"/>
      <c r="O255" s="6"/>
      <c r="Q255" s="6"/>
    </row>
    <row r="256">
      <c r="A256" s="6"/>
      <c r="G256" s="9"/>
      <c r="H256" s="9"/>
      <c r="O256" s="6"/>
      <c r="Q256" s="6"/>
    </row>
    <row r="257">
      <c r="A257" s="6"/>
      <c r="G257" s="9"/>
      <c r="H257" s="9"/>
      <c r="O257" s="6"/>
      <c r="Q257" s="6"/>
    </row>
    <row r="258">
      <c r="A258" s="6"/>
      <c r="G258" s="9"/>
      <c r="H258" s="9"/>
      <c r="O258" s="6"/>
      <c r="Q258" s="6"/>
    </row>
    <row r="259">
      <c r="A259" s="6"/>
      <c r="G259" s="9"/>
      <c r="H259" s="9"/>
      <c r="O259" s="6"/>
      <c r="Q259" s="6"/>
    </row>
    <row r="260">
      <c r="A260" s="6"/>
      <c r="G260" s="9"/>
      <c r="H260" s="9"/>
      <c r="O260" s="6"/>
      <c r="Q260" s="6"/>
    </row>
    <row r="261">
      <c r="A261" s="6"/>
      <c r="G261" s="9"/>
      <c r="H261" s="9"/>
      <c r="O261" s="6"/>
      <c r="Q261" s="6"/>
    </row>
    <row r="262">
      <c r="A262" s="6"/>
      <c r="G262" s="9"/>
      <c r="H262" s="9"/>
      <c r="O262" s="6"/>
      <c r="Q262" s="6"/>
    </row>
    <row r="263">
      <c r="A263" s="6"/>
      <c r="G263" s="9"/>
      <c r="H263" s="9"/>
      <c r="O263" s="6"/>
      <c r="Q263" s="6"/>
    </row>
    <row r="264">
      <c r="A264" s="6"/>
      <c r="G264" s="9"/>
      <c r="H264" s="9"/>
      <c r="O264" s="6"/>
      <c r="Q264" s="6"/>
    </row>
    <row r="265">
      <c r="A265" s="6"/>
      <c r="G265" s="9"/>
      <c r="H265" s="9"/>
      <c r="O265" s="6"/>
      <c r="Q265" s="6"/>
    </row>
    <row r="266">
      <c r="A266" s="6"/>
      <c r="G266" s="9"/>
      <c r="H266" s="9"/>
      <c r="O266" s="6"/>
      <c r="Q266" s="6"/>
    </row>
    <row r="267">
      <c r="A267" s="6"/>
      <c r="G267" s="9"/>
      <c r="H267" s="9"/>
      <c r="O267" s="6"/>
      <c r="Q267" s="6"/>
    </row>
    <row r="268">
      <c r="A268" s="6"/>
      <c r="G268" s="9"/>
      <c r="H268" s="9"/>
      <c r="O268" s="6"/>
      <c r="Q268" s="6"/>
    </row>
    <row r="269">
      <c r="A269" s="6"/>
      <c r="G269" s="9"/>
      <c r="H269" s="9"/>
      <c r="O269" s="6"/>
      <c r="Q269" s="6"/>
    </row>
    <row r="270">
      <c r="A270" s="6"/>
      <c r="G270" s="9"/>
      <c r="H270" s="9"/>
      <c r="O270" s="6"/>
      <c r="Q270" s="6"/>
    </row>
    <row r="271">
      <c r="A271" s="6"/>
      <c r="G271" s="9"/>
      <c r="H271" s="9"/>
      <c r="O271" s="6"/>
      <c r="Q271" s="6"/>
    </row>
    <row r="272">
      <c r="A272" s="6"/>
      <c r="G272" s="9"/>
      <c r="H272" s="9"/>
      <c r="O272" s="6"/>
      <c r="Q272" s="6"/>
    </row>
    <row r="273">
      <c r="A273" s="6"/>
      <c r="G273" s="9"/>
      <c r="H273" s="9"/>
      <c r="O273" s="6"/>
      <c r="Q273" s="6"/>
    </row>
    <row r="274">
      <c r="A274" s="6"/>
      <c r="G274" s="9"/>
      <c r="H274" s="9"/>
      <c r="O274" s="6"/>
      <c r="Q274" s="6"/>
    </row>
    <row r="275">
      <c r="A275" s="6"/>
      <c r="G275" s="9"/>
      <c r="H275" s="9"/>
      <c r="O275" s="6"/>
      <c r="Q275" s="6"/>
    </row>
    <row r="276">
      <c r="A276" s="6"/>
      <c r="G276" s="9"/>
      <c r="H276" s="9"/>
      <c r="O276" s="6"/>
      <c r="Q276" s="6"/>
    </row>
    <row r="277">
      <c r="A277" s="6"/>
      <c r="G277" s="9"/>
      <c r="H277" s="9"/>
      <c r="O277" s="6"/>
      <c r="Q277" s="6"/>
    </row>
    <row r="278">
      <c r="A278" s="6"/>
      <c r="G278" s="9"/>
      <c r="H278" s="9"/>
      <c r="O278" s="6"/>
      <c r="Q278" s="6"/>
    </row>
    <row r="279">
      <c r="A279" s="6"/>
      <c r="G279" s="9"/>
      <c r="H279" s="9"/>
      <c r="O279" s="6"/>
      <c r="Q279" s="6"/>
    </row>
    <row r="280">
      <c r="A280" s="6"/>
      <c r="G280" s="9"/>
      <c r="H280" s="9"/>
      <c r="O280" s="6"/>
      <c r="Q280" s="6"/>
    </row>
    <row r="281">
      <c r="A281" s="6"/>
      <c r="G281" s="9"/>
      <c r="H281" s="9"/>
      <c r="O281" s="6"/>
      <c r="Q281" s="6"/>
    </row>
    <row r="282">
      <c r="A282" s="6"/>
      <c r="G282" s="9"/>
      <c r="H282" s="9"/>
      <c r="O282" s="6"/>
      <c r="Q282" s="6"/>
    </row>
    <row r="283">
      <c r="A283" s="6"/>
      <c r="G283" s="9"/>
      <c r="H283" s="9"/>
      <c r="O283" s="6"/>
      <c r="Q283" s="6"/>
    </row>
    <row r="284">
      <c r="A284" s="6"/>
      <c r="G284" s="9"/>
      <c r="H284" s="9"/>
      <c r="O284" s="6"/>
      <c r="Q284" s="6"/>
    </row>
    <row r="285">
      <c r="A285" s="6"/>
      <c r="G285" s="9"/>
      <c r="H285" s="9"/>
      <c r="O285" s="6"/>
      <c r="Q285" s="6"/>
    </row>
    <row r="286">
      <c r="A286" s="6"/>
      <c r="G286" s="9"/>
      <c r="H286" s="9"/>
      <c r="O286" s="6"/>
      <c r="Q286" s="6"/>
    </row>
    <row r="287">
      <c r="A287" s="6"/>
      <c r="G287" s="9"/>
      <c r="H287" s="9"/>
      <c r="O287" s="6"/>
      <c r="Q287" s="6"/>
    </row>
    <row r="288">
      <c r="A288" s="6"/>
      <c r="G288" s="9"/>
      <c r="H288" s="9"/>
      <c r="O288" s="6"/>
      <c r="Q288" s="6"/>
    </row>
    <row r="289">
      <c r="A289" s="6"/>
      <c r="G289" s="9"/>
      <c r="H289" s="9"/>
      <c r="O289" s="6"/>
      <c r="Q289" s="6"/>
    </row>
    <row r="290">
      <c r="A290" s="6"/>
      <c r="G290" s="9"/>
      <c r="H290" s="9"/>
      <c r="O290" s="6"/>
      <c r="Q290" s="6"/>
    </row>
    <row r="291">
      <c r="A291" s="6"/>
      <c r="G291" s="9"/>
      <c r="H291" s="9"/>
      <c r="O291" s="6"/>
      <c r="Q291" s="6"/>
    </row>
    <row r="292">
      <c r="A292" s="6"/>
      <c r="G292" s="9"/>
      <c r="H292" s="9"/>
      <c r="O292" s="6"/>
      <c r="Q292" s="6"/>
    </row>
    <row r="293">
      <c r="A293" s="6"/>
      <c r="G293" s="9"/>
      <c r="H293" s="9"/>
      <c r="O293" s="6"/>
      <c r="Q293" s="6"/>
    </row>
    <row r="294">
      <c r="A294" s="6"/>
      <c r="G294" s="9"/>
      <c r="H294" s="9"/>
      <c r="O294" s="6"/>
      <c r="Q294" s="6"/>
    </row>
    <row r="295">
      <c r="A295" s="6"/>
      <c r="G295" s="9"/>
      <c r="H295" s="9"/>
      <c r="O295" s="6"/>
      <c r="Q295" s="6"/>
    </row>
    <row r="296">
      <c r="A296" s="6"/>
      <c r="G296" s="9"/>
      <c r="H296" s="9"/>
      <c r="O296" s="6"/>
      <c r="Q296" s="6"/>
    </row>
    <row r="297">
      <c r="A297" s="6"/>
      <c r="G297" s="9"/>
      <c r="H297" s="9"/>
      <c r="O297" s="6"/>
      <c r="Q297" s="6"/>
    </row>
    <row r="298">
      <c r="A298" s="6"/>
      <c r="G298" s="9"/>
      <c r="H298" s="9"/>
      <c r="O298" s="6"/>
      <c r="Q298" s="6"/>
    </row>
    <row r="299">
      <c r="A299" s="6"/>
      <c r="G299" s="9"/>
      <c r="H299" s="9"/>
      <c r="O299" s="6"/>
      <c r="Q299" s="6"/>
    </row>
    <row r="300">
      <c r="A300" s="6"/>
      <c r="G300" s="9"/>
      <c r="H300" s="9"/>
      <c r="O300" s="6"/>
      <c r="Q300" s="6"/>
    </row>
    <row r="301">
      <c r="A301" s="6"/>
      <c r="G301" s="9"/>
      <c r="H301" s="9"/>
      <c r="O301" s="6"/>
      <c r="Q301" s="6"/>
    </row>
    <row r="302">
      <c r="A302" s="6"/>
      <c r="G302" s="9"/>
      <c r="H302" s="9"/>
      <c r="O302" s="6"/>
      <c r="Q302" s="6"/>
    </row>
    <row r="303">
      <c r="A303" s="6"/>
      <c r="G303" s="9"/>
      <c r="H303" s="9"/>
      <c r="O303" s="6"/>
      <c r="Q303" s="6"/>
    </row>
    <row r="304">
      <c r="A304" s="6"/>
      <c r="G304" s="9"/>
      <c r="H304" s="9"/>
      <c r="O304" s="6"/>
      <c r="Q304" s="6"/>
    </row>
    <row r="305">
      <c r="A305" s="6"/>
      <c r="G305" s="9"/>
      <c r="H305" s="9"/>
      <c r="O305" s="6"/>
      <c r="Q305" s="6"/>
    </row>
    <row r="306">
      <c r="A306" s="6"/>
      <c r="G306" s="9"/>
      <c r="H306" s="9"/>
      <c r="O306" s="6"/>
      <c r="Q306" s="6"/>
    </row>
    <row r="307">
      <c r="A307" s="6"/>
      <c r="G307" s="9"/>
      <c r="H307" s="9"/>
      <c r="O307" s="6"/>
      <c r="Q307" s="6"/>
    </row>
    <row r="308">
      <c r="A308" s="6"/>
      <c r="G308" s="9"/>
      <c r="H308" s="9"/>
      <c r="O308" s="6"/>
      <c r="Q308" s="6"/>
    </row>
    <row r="309">
      <c r="A309" s="6"/>
      <c r="G309" s="9"/>
      <c r="H309" s="9"/>
      <c r="O309" s="6"/>
      <c r="Q309" s="6"/>
    </row>
    <row r="310">
      <c r="A310" s="6"/>
      <c r="G310" s="9"/>
      <c r="H310" s="9"/>
      <c r="O310" s="6"/>
      <c r="Q310" s="6"/>
    </row>
    <row r="311">
      <c r="A311" s="6"/>
      <c r="G311" s="9"/>
      <c r="H311" s="9"/>
      <c r="O311" s="6"/>
      <c r="Q311" s="6"/>
    </row>
    <row r="312">
      <c r="A312" s="6"/>
      <c r="G312" s="9"/>
      <c r="H312" s="9"/>
      <c r="O312" s="6"/>
      <c r="Q312" s="6"/>
    </row>
    <row r="313">
      <c r="A313" s="6"/>
      <c r="G313" s="9"/>
      <c r="H313" s="9"/>
      <c r="O313" s="6"/>
      <c r="Q313" s="6"/>
    </row>
    <row r="314">
      <c r="A314" s="6"/>
      <c r="G314" s="9"/>
      <c r="H314" s="9"/>
      <c r="O314" s="6"/>
      <c r="Q314" s="6"/>
    </row>
    <row r="315">
      <c r="A315" s="6"/>
      <c r="G315" s="9"/>
      <c r="H315" s="9"/>
      <c r="O315" s="6"/>
      <c r="Q315" s="6"/>
    </row>
    <row r="316">
      <c r="A316" s="6"/>
      <c r="G316" s="9"/>
      <c r="H316" s="9"/>
      <c r="O316" s="6"/>
      <c r="Q316" s="6"/>
    </row>
    <row r="317">
      <c r="A317" s="6"/>
      <c r="G317" s="9"/>
      <c r="H317" s="9"/>
      <c r="O317" s="6"/>
      <c r="Q317" s="6"/>
    </row>
    <row r="318">
      <c r="A318" s="6"/>
      <c r="G318" s="9"/>
      <c r="H318" s="9"/>
      <c r="O318" s="6"/>
      <c r="Q318" s="6"/>
    </row>
    <row r="319">
      <c r="A319" s="6"/>
      <c r="G319" s="9"/>
      <c r="H319" s="9"/>
      <c r="O319" s="6"/>
      <c r="Q319" s="6"/>
    </row>
    <row r="320">
      <c r="A320" s="6"/>
      <c r="G320" s="9"/>
      <c r="H320" s="9"/>
      <c r="O320" s="6"/>
      <c r="Q320" s="6"/>
    </row>
    <row r="321">
      <c r="A321" s="6"/>
      <c r="G321" s="9"/>
      <c r="H321" s="9"/>
      <c r="O321" s="6"/>
      <c r="Q321" s="6"/>
    </row>
    <row r="322">
      <c r="A322" s="6"/>
      <c r="G322" s="9"/>
      <c r="H322" s="9"/>
      <c r="O322" s="6"/>
      <c r="Q322" s="6"/>
    </row>
    <row r="323">
      <c r="A323" s="6"/>
      <c r="G323" s="9"/>
      <c r="H323" s="9"/>
      <c r="O323" s="6"/>
      <c r="Q323" s="6"/>
    </row>
    <row r="324">
      <c r="A324" s="6"/>
      <c r="G324" s="9"/>
      <c r="H324" s="9"/>
      <c r="O324" s="6"/>
      <c r="Q324" s="6"/>
    </row>
    <row r="325">
      <c r="A325" s="6"/>
      <c r="G325" s="9"/>
      <c r="H325" s="9"/>
      <c r="O325" s="6"/>
      <c r="Q325" s="6"/>
    </row>
    <row r="326">
      <c r="A326" s="6"/>
      <c r="G326" s="9"/>
      <c r="H326" s="9"/>
      <c r="O326" s="6"/>
      <c r="Q326" s="6"/>
    </row>
    <row r="327">
      <c r="A327" s="6"/>
      <c r="G327" s="9"/>
      <c r="H327" s="9"/>
      <c r="O327" s="6"/>
      <c r="Q327" s="6"/>
    </row>
    <row r="328">
      <c r="A328" s="6"/>
      <c r="G328" s="9"/>
      <c r="H328" s="9"/>
      <c r="O328" s="6"/>
      <c r="Q328" s="6"/>
    </row>
    <row r="329">
      <c r="A329" s="6"/>
      <c r="G329" s="9"/>
      <c r="H329" s="9"/>
      <c r="O329" s="6"/>
      <c r="Q329" s="6"/>
    </row>
    <row r="330">
      <c r="A330" s="6"/>
      <c r="G330" s="9"/>
      <c r="H330" s="9"/>
      <c r="O330" s="6"/>
      <c r="Q330" s="6"/>
    </row>
    <row r="331">
      <c r="A331" s="6"/>
      <c r="G331" s="9"/>
      <c r="H331" s="9"/>
      <c r="O331" s="6"/>
      <c r="Q331" s="6"/>
    </row>
    <row r="332">
      <c r="A332" s="6"/>
      <c r="G332" s="9"/>
      <c r="H332" s="9"/>
      <c r="O332" s="6"/>
      <c r="Q332" s="6"/>
    </row>
    <row r="333">
      <c r="A333" s="6"/>
      <c r="G333" s="9"/>
      <c r="H333" s="9"/>
      <c r="O333" s="6"/>
      <c r="Q333" s="6"/>
    </row>
    <row r="334">
      <c r="A334" s="6"/>
      <c r="G334" s="9"/>
      <c r="H334" s="9"/>
      <c r="O334" s="6"/>
      <c r="Q334" s="6"/>
    </row>
    <row r="335">
      <c r="A335" s="6"/>
      <c r="G335" s="9"/>
      <c r="H335" s="9"/>
      <c r="O335" s="6"/>
      <c r="Q335" s="6"/>
    </row>
    <row r="336">
      <c r="A336" s="6"/>
      <c r="G336" s="9"/>
      <c r="H336" s="9"/>
      <c r="O336" s="6"/>
      <c r="Q336" s="6"/>
    </row>
    <row r="337">
      <c r="A337" s="6"/>
      <c r="G337" s="9"/>
      <c r="H337" s="9"/>
      <c r="O337" s="6"/>
      <c r="Q337" s="6"/>
    </row>
    <row r="338">
      <c r="A338" s="6"/>
      <c r="G338" s="9"/>
      <c r="H338" s="9"/>
      <c r="O338" s="6"/>
      <c r="Q338" s="6"/>
    </row>
    <row r="339">
      <c r="A339" s="6"/>
      <c r="G339" s="9"/>
      <c r="H339" s="9"/>
      <c r="O339" s="6"/>
      <c r="Q339" s="6"/>
    </row>
    <row r="340">
      <c r="A340" s="6"/>
      <c r="G340" s="9"/>
      <c r="H340" s="9"/>
      <c r="O340" s="6"/>
      <c r="Q340" s="6"/>
    </row>
    <row r="341">
      <c r="A341" s="6"/>
      <c r="G341" s="9"/>
      <c r="H341" s="9"/>
      <c r="O341" s="6"/>
      <c r="Q341" s="6"/>
    </row>
    <row r="342">
      <c r="A342" s="6"/>
      <c r="G342" s="9"/>
      <c r="H342" s="9"/>
      <c r="O342" s="6"/>
      <c r="Q342" s="6"/>
    </row>
    <row r="343">
      <c r="A343" s="6"/>
      <c r="G343" s="9"/>
      <c r="H343" s="9"/>
      <c r="O343" s="6"/>
      <c r="Q343" s="6"/>
    </row>
    <row r="344">
      <c r="A344" s="6"/>
      <c r="G344" s="9"/>
      <c r="H344" s="9"/>
      <c r="O344" s="6"/>
      <c r="Q344" s="6"/>
    </row>
    <row r="345">
      <c r="A345" s="6"/>
      <c r="G345" s="9"/>
      <c r="H345" s="9"/>
      <c r="O345" s="6"/>
      <c r="Q345" s="6"/>
    </row>
    <row r="346">
      <c r="A346" s="6"/>
      <c r="G346" s="9"/>
      <c r="H346" s="9"/>
      <c r="O346" s="6"/>
      <c r="Q346" s="6"/>
    </row>
    <row r="347">
      <c r="A347" s="6"/>
      <c r="G347" s="9"/>
      <c r="H347" s="9"/>
      <c r="O347" s="6"/>
      <c r="Q347" s="6"/>
    </row>
    <row r="348">
      <c r="A348" s="6"/>
      <c r="G348" s="9"/>
      <c r="H348" s="9"/>
      <c r="O348" s="6"/>
      <c r="Q348" s="6"/>
    </row>
    <row r="349">
      <c r="A349" s="6"/>
      <c r="G349" s="9"/>
      <c r="H349" s="9"/>
      <c r="O349" s="6"/>
      <c r="Q349" s="6"/>
    </row>
    <row r="350">
      <c r="A350" s="6"/>
      <c r="G350" s="9"/>
      <c r="H350" s="9"/>
      <c r="O350" s="6"/>
      <c r="Q350" s="6"/>
    </row>
    <row r="351">
      <c r="A351" s="6"/>
      <c r="G351" s="9"/>
      <c r="H351" s="9"/>
      <c r="O351" s="6"/>
      <c r="Q351" s="6"/>
    </row>
    <row r="352">
      <c r="A352" s="6"/>
      <c r="G352" s="9"/>
      <c r="H352" s="9"/>
      <c r="O352" s="6"/>
      <c r="Q352" s="6"/>
    </row>
    <row r="353">
      <c r="A353" s="6"/>
      <c r="G353" s="9"/>
      <c r="H353" s="9"/>
      <c r="O353" s="6"/>
      <c r="Q353" s="6"/>
    </row>
    <row r="354">
      <c r="A354" s="6"/>
      <c r="G354" s="9"/>
      <c r="H354" s="9"/>
      <c r="O354" s="6"/>
      <c r="Q354" s="6"/>
    </row>
    <row r="355">
      <c r="A355" s="6"/>
      <c r="G355" s="9"/>
      <c r="H355" s="9"/>
      <c r="O355" s="6"/>
      <c r="Q355" s="6"/>
    </row>
    <row r="356">
      <c r="A356" s="6"/>
      <c r="G356" s="9"/>
      <c r="H356" s="9"/>
      <c r="O356" s="6"/>
      <c r="Q356" s="6"/>
    </row>
    <row r="357">
      <c r="A357" s="6"/>
      <c r="G357" s="9"/>
      <c r="H357" s="9"/>
      <c r="O357" s="6"/>
      <c r="Q357" s="6"/>
    </row>
    <row r="358">
      <c r="A358" s="6"/>
      <c r="G358" s="9"/>
      <c r="H358" s="9"/>
      <c r="O358" s="6"/>
      <c r="Q358" s="6"/>
    </row>
    <row r="359">
      <c r="A359" s="6"/>
      <c r="G359" s="9"/>
      <c r="H359" s="9"/>
      <c r="O359" s="6"/>
      <c r="Q359" s="6"/>
    </row>
    <row r="360">
      <c r="A360" s="6"/>
      <c r="G360" s="9"/>
      <c r="H360" s="9"/>
      <c r="O360" s="6"/>
      <c r="Q360" s="6"/>
    </row>
    <row r="361">
      <c r="A361" s="6"/>
      <c r="G361" s="9"/>
      <c r="H361" s="9"/>
      <c r="O361" s="6"/>
      <c r="Q361" s="6"/>
    </row>
    <row r="362">
      <c r="A362" s="6"/>
      <c r="G362" s="9"/>
      <c r="H362" s="9"/>
      <c r="O362" s="6"/>
      <c r="Q362" s="6"/>
    </row>
    <row r="363">
      <c r="A363" s="6"/>
      <c r="G363" s="9"/>
      <c r="H363" s="9"/>
      <c r="O363" s="6"/>
      <c r="Q363" s="6"/>
    </row>
    <row r="364">
      <c r="A364" s="6"/>
      <c r="G364" s="9"/>
      <c r="H364" s="9"/>
      <c r="O364" s="6"/>
      <c r="Q364" s="6"/>
    </row>
    <row r="365">
      <c r="A365" s="6"/>
      <c r="G365" s="9"/>
      <c r="H365" s="9"/>
      <c r="O365" s="6"/>
      <c r="Q365" s="6"/>
    </row>
    <row r="366">
      <c r="A366" s="6"/>
      <c r="G366" s="9"/>
      <c r="H366" s="9"/>
      <c r="O366" s="6"/>
      <c r="Q366" s="6"/>
    </row>
    <row r="367">
      <c r="A367" s="6"/>
      <c r="G367" s="9"/>
      <c r="H367" s="9"/>
      <c r="O367" s="6"/>
      <c r="Q367" s="6"/>
    </row>
    <row r="368">
      <c r="A368" s="6"/>
      <c r="G368" s="9"/>
      <c r="H368" s="9"/>
      <c r="O368" s="6"/>
      <c r="Q368" s="6"/>
    </row>
    <row r="369">
      <c r="A369" s="6"/>
      <c r="G369" s="9"/>
      <c r="H369" s="9"/>
      <c r="O369" s="6"/>
      <c r="Q369" s="6"/>
    </row>
    <row r="370">
      <c r="A370" s="6"/>
      <c r="G370" s="9"/>
      <c r="H370" s="9"/>
      <c r="O370" s="6"/>
      <c r="Q370" s="6"/>
    </row>
    <row r="371">
      <c r="A371" s="6"/>
      <c r="G371" s="9"/>
      <c r="H371" s="9"/>
      <c r="O371" s="6"/>
      <c r="Q371" s="6"/>
    </row>
    <row r="372">
      <c r="A372" s="6"/>
      <c r="G372" s="9"/>
      <c r="H372" s="9"/>
      <c r="O372" s="6"/>
      <c r="Q372" s="6"/>
    </row>
    <row r="373">
      <c r="A373" s="6"/>
      <c r="G373" s="9"/>
      <c r="H373" s="9"/>
      <c r="O373" s="6"/>
      <c r="Q373" s="6"/>
    </row>
    <row r="374">
      <c r="A374" s="6"/>
      <c r="G374" s="9"/>
      <c r="H374" s="9"/>
      <c r="O374" s="6"/>
      <c r="Q374" s="6"/>
    </row>
    <row r="375">
      <c r="A375" s="6"/>
      <c r="G375" s="9"/>
      <c r="H375" s="9"/>
      <c r="O375" s="6"/>
      <c r="Q375" s="6"/>
    </row>
    <row r="376">
      <c r="A376" s="6"/>
      <c r="G376" s="9"/>
      <c r="H376" s="9"/>
      <c r="O376" s="6"/>
      <c r="Q376" s="6"/>
    </row>
    <row r="377">
      <c r="A377" s="6"/>
      <c r="G377" s="9"/>
      <c r="H377" s="9"/>
      <c r="O377" s="6"/>
      <c r="Q377" s="6"/>
    </row>
    <row r="378">
      <c r="A378" s="6"/>
      <c r="G378" s="9"/>
      <c r="H378" s="9"/>
      <c r="O378" s="6"/>
      <c r="Q378" s="6"/>
    </row>
    <row r="379">
      <c r="A379" s="6"/>
      <c r="G379" s="9"/>
      <c r="H379" s="9"/>
      <c r="O379" s="6"/>
      <c r="Q379" s="6"/>
    </row>
    <row r="380">
      <c r="A380" s="6"/>
      <c r="G380" s="9"/>
      <c r="H380" s="9"/>
      <c r="O380" s="6"/>
      <c r="Q380" s="6"/>
    </row>
    <row r="381">
      <c r="A381" s="6"/>
      <c r="G381" s="9"/>
      <c r="H381" s="9"/>
      <c r="O381" s="6"/>
      <c r="Q381" s="6"/>
    </row>
    <row r="382">
      <c r="A382" s="6"/>
      <c r="G382" s="9"/>
      <c r="H382" s="9"/>
      <c r="O382" s="6"/>
      <c r="Q382" s="6"/>
    </row>
    <row r="383">
      <c r="A383" s="6"/>
      <c r="G383" s="9"/>
      <c r="H383" s="9"/>
      <c r="O383" s="6"/>
      <c r="Q383" s="6"/>
    </row>
    <row r="384">
      <c r="A384" s="6"/>
      <c r="G384" s="9"/>
      <c r="H384" s="9"/>
      <c r="O384" s="6"/>
      <c r="Q384" s="6"/>
    </row>
    <row r="385">
      <c r="A385" s="6"/>
      <c r="G385" s="9"/>
      <c r="H385" s="9"/>
      <c r="O385" s="6"/>
      <c r="Q385" s="6"/>
    </row>
    <row r="386">
      <c r="A386" s="6"/>
      <c r="G386" s="9"/>
      <c r="H386" s="9"/>
      <c r="O386" s="6"/>
      <c r="Q386" s="6"/>
    </row>
    <row r="387">
      <c r="A387" s="6"/>
      <c r="G387" s="9"/>
      <c r="H387" s="9"/>
      <c r="O387" s="6"/>
      <c r="Q387" s="6"/>
    </row>
    <row r="388">
      <c r="A388" s="6"/>
      <c r="G388" s="9"/>
      <c r="H388" s="9"/>
      <c r="O388" s="6"/>
      <c r="Q388" s="6"/>
    </row>
    <row r="389">
      <c r="A389" s="6"/>
      <c r="G389" s="9"/>
      <c r="H389" s="9"/>
      <c r="O389" s="6"/>
      <c r="Q389" s="6"/>
    </row>
    <row r="390">
      <c r="A390" s="6"/>
      <c r="G390" s="9"/>
      <c r="H390" s="9"/>
      <c r="O390" s="6"/>
      <c r="Q390" s="6"/>
    </row>
    <row r="391">
      <c r="A391" s="6"/>
      <c r="G391" s="9"/>
      <c r="H391" s="9"/>
      <c r="O391" s="6"/>
      <c r="Q391" s="6"/>
    </row>
    <row r="392">
      <c r="A392" s="6"/>
      <c r="G392" s="9"/>
      <c r="H392" s="9"/>
      <c r="O392" s="6"/>
      <c r="Q392" s="6"/>
    </row>
    <row r="393">
      <c r="A393" s="6"/>
      <c r="G393" s="9"/>
      <c r="H393" s="9"/>
      <c r="O393" s="6"/>
      <c r="Q393" s="6"/>
    </row>
    <row r="394">
      <c r="A394" s="6"/>
      <c r="G394" s="9"/>
      <c r="H394" s="9"/>
      <c r="O394" s="6"/>
      <c r="Q394" s="6"/>
    </row>
    <row r="395">
      <c r="A395" s="6"/>
      <c r="G395" s="9"/>
      <c r="H395" s="9"/>
      <c r="O395" s="6"/>
      <c r="Q395" s="6"/>
    </row>
    <row r="396">
      <c r="A396" s="6"/>
      <c r="G396" s="9"/>
      <c r="H396" s="9"/>
      <c r="O396" s="6"/>
      <c r="Q396" s="6"/>
    </row>
    <row r="397">
      <c r="A397" s="6"/>
      <c r="G397" s="9"/>
      <c r="H397" s="9"/>
      <c r="O397" s="6"/>
      <c r="Q397" s="6"/>
    </row>
    <row r="398">
      <c r="A398" s="6"/>
      <c r="G398" s="9"/>
      <c r="H398" s="9"/>
      <c r="O398" s="6"/>
      <c r="Q398" s="6"/>
    </row>
    <row r="399">
      <c r="A399" s="6"/>
      <c r="G399" s="9"/>
      <c r="H399" s="9"/>
      <c r="O399" s="6"/>
      <c r="Q399" s="6"/>
    </row>
    <row r="400">
      <c r="A400" s="6"/>
      <c r="G400" s="9"/>
      <c r="H400" s="9"/>
      <c r="O400" s="6"/>
      <c r="Q400" s="6"/>
    </row>
    <row r="401">
      <c r="A401" s="6"/>
      <c r="G401" s="9"/>
      <c r="H401" s="9"/>
      <c r="O401" s="6"/>
      <c r="Q401" s="6"/>
    </row>
    <row r="402">
      <c r="A402" s="6"/>
      <c r="G402" s="9"/>
      <c r="H402" s="9"/>
      <c r="O402" s="6"/>
      <c r="Q402" s="6"/>
    </row>
    <row r="403">
      <c r="A403" s="6"/>
      <c r="G403" s="9"/>
      <c r="H403" s="9"/>
      <c r="O403" s="6"/>
      <c r="Q403" s="6"/>
    </row>
    <row r="404">
      <c r="A404" s="6"/>
      <c r="G404" s="9"/>
      <c r="H404" s="9"/>
      <c r="O404" s="6"/>
      <c r="Q404" s="6"/>
    </row>
    <row r="405">
      <c r="A405" s="6"/>
      <c r="G405" s="9"/>
      <c r="H405" s="9"/>
      <c r="O405" s="6"/>
      <c r="Q405" s="6"/>
    </row>
    <row r="406">
      <c r="A406" s="6"/>
      <c r="G406" s="9"/>
      <c r="H406" s="9"/>
      <c r="O406" s="6"/>
      <c r="Q406" s="6"/>
    </row>
    <row r="407">
      <c r="A407" s="6"/>
      <c r="G407" s="9"/>
      <c r="H407" s="9"/>
      <c r="O407" s="6"/>
      <c r="Q407" s="6"/>
    </row>
    <row r="408">
      <c r="A408" s="6"/>
      <c r="G408" s="9"/>
      <c r="H408" s="9"/>
      <c r="O408" s="6"/>
      <c r="Q408" s="6"/>
    </row>
    <row r="409">
      <c r="A409" s="6"/>
      <c r="G409" s="9"/>
      <c r="H409" s="9"/>
      <c r="O409" s="6"/>
      <c r="Q409" s="6"/>
    </row>
    <row r="410">
      <c r="A410" s="6"/>
      <c r="G410" s="9"/>
      <c r="H410" s="9"/>
      <c r="O410" s="6"/>
      <c r="Q410" s="6"/>
    </row>
    <row r="411">
      <c r="A411" s="6"/>
      <c r="G411" s="9"/>
      <c r="H411" s="9"/>
      <c r="O411" s="6"/>
      <c r="Q411" s="6"/>
    </row>
    <row r="412">
      <c r="A412" s="6"/>
      <c r="G412" s="9"/>
      <c r="H412" s="9"/>
      <c r="O412" s="6"/>
      <c r="Q412" s="6"/>
    </row>
    <row r="413">
      <c r="A413" s="6"/>
      <c r="G413" s="9"/>
      <c r="H413" s="9"/>
      <c r="O413" s="6"/>
      <c r="Q413" s="6"/>
    </row>
    <row r="414">
      <c r="A414" s="6"/>
      <c r="G414" s="9"/>
      <c r="H414" s="9"/>
      <c r="O414" s="6"/>
      <c r="Q414" s="6"/>
    </row>
    <row r="415">
      <c r="A415" s="6"/>
      <c r="G415" s="9"/>
      <c r="H415" s="9"/>
      <c r="O415" s="6"/>
      <c r="Q415" s="6"/>
    </row>
    <row r="416">
      <c r="A416" s="6"/>
      <c r="G416" s="9"/>
      <c r="H416" s="9"/>
      <c r="O416" s="6"/>
      <c r="Q416" s="6"/>
    </row>
    <row r="417">
      <c r="A417" s="6"/>
      <c r="G417" s="9"/>
      <c r="H417" s="9"/>
      <c r="O417" s="6"/>
      <c r="Q417" s="6"/>
    </row>
    <row r="418">
      <c r="A418" s="6"/>
      <c r="G418" s="9"/>
      <c r="H418" s="9"/>
      <c r="O418" s="6"/>
      <c r="Q418" s="6"/>
    </row>
    <row r="419">
      <c r="A419" s="6"/>
      <c r="G419" s="9"/>
      <c r="H419" s="9"/>
      <c r="O419" s="6"/>
      <c r="Q419" s="6"/>
    </row>
    <row r="420">
      <c r="A420" s="6"/>
      <c r="G420" s="9"/>
      <c r="H420" s="9"/>
      <c r="O420" s="6"/>
      <c r="Q420" s="6"/>
    </row>
    <row r="421">
      <c r="A421" s="6"/>
      <c r="G421" s="9"/>
      <c r="H421" s="9"/>
      <c r="O421" s="6"/>
      <c r="Q421" s="6"/>
    </row>
    <row r="422">
      <c r="A422" s="6"/>
      <c r="G422" s="9"/>
      <c r="H422" s="9"/>
      <c r="O422" s="6"/>
      <c r="Q422" s="6"/>
    </row>
    <row r="423">
      <c r="A423" s="6"/>
      <c r="G423" s="9"/>
      <c r="H423" s="9"/>
      <c r="O423" s="6"/>
      <c r="Q423" s="6"/>
    </row>
    <row r="424">
      <c r="A424" s="6"/>
      <c r="G424" s="9"/>
      <c r="H424" s="9"/>
      <c r="O424" s="6"/>
      <c r="Q424" s="6"/>
    </row>
    <row r="425">
      <c r="A425" s="6"/>
      <c r="G425" s="9"/>
      <c r="H425" s="9"/>
      <c r="O425" s="6"/>
      <c r="Q425" s="6"/>
    </row>
    <row r="426">
      <c r="A426" s="6"/>
      <c r="G426" s="9"/>
      <c r="H426" s="9"/>
      <c r="O426" s="6"/>
      <c r="Q426" s="6"/>
    </row>
    <row r="427">
      <c r="A427" s="6"/>
      <c r="G427" s="9"/>
      <c r="H427" s="9"/>
      <c r="O427" s="6"/>
      <c r="Q427" s="6"/>
    </row>
    <row r="428">
      <c r="A428" s="6"/>
      <c r="G428" s="9"/>
      <c r="H428" s="9"/>
      <c r="O428" s="6"/>
      <c r="Q428" s="6"/>
    </row>
    <row r="429">
      <c r="A429" s="6"/>
      <c r="G429" s="9"/>
      <c r="H429" s="9"/>
      <c r="O429" s="6"/>
      <c r="Q429" s="6"/>
    </row>
    <row r="430">
      <c r="A430" s="6"/>
      <c r="G430" s="9"/>
      <c r="H430" s="9"/>
      <c r="O430" s="6"/>
      <c r="Q430" s="6"/>
    </row>
    <row r="431">
      <c r="A431" s="6"/>
      <c r="G431" s="9"/>
      <c r="H431" s="9"/>
      <c r="O431" s="6"/>
      <c r="Q431" s="6"/>
    </row>
    <row r="432">
      <c r="A432" s="6"/>
      <c r="G432" s="9"/>
      <c r="H432" s="9"/>
      <c r="O432" s="6"/>
      <c r="Q432" s="6"/>
    </row>
    <row r="433">
      <c r="A433" s="6"/>
      <c r="G433" s="9"/>
      <c r="H433" s="9"/>
      <c r="O433" s="6"/>
      <c r="Q433" s="6"/>
    </row>
    <row r="434">
      <c r="A434" s="6"/>
      <c r="G434" s="9"/>
      <c r="H434" s="9"/>
      <c r="O434" s="6"/>
      <c r="Q434" s="6"/>
    </row>
    <row r="435">
      <c r="A435" s="6"/>
      <c r="G435" s="9"/>
      <c r="H435" s="9"/>
      <c r="O435" s="6"/>
      <c r="Q435" s="6"/>
    </row>
    <row r="436">
      <c r="A436" s="6"/>
      <c r="G436" s="9"/>
      <c r="H436" s="9"/>
      <c r="O436" s="6"/>
      <c r="Q436" s="6"/>
    </row>
    <row r="437">
      <c r="A437" s="6"/>
      <c r="G437" s="9"/>
      <c r="H437" s="9"/>
      <c r="O437" s="6"/>
      <c r="Q437" s="6"/>
    </row>
    <row r="438">
      <c r="A438" s="6"/>
      <c r="G438" s="9"/>
      <c r="H438" s="9"/>
      <c r="O438" s="6"/>
      <c r="Q438" s="6"/>
    </row>
    <row r="439">
      <c r="A439" s="6"/>
      <c r="G439" s="9"/>
      <c r="H439" s="9"/>
      <c r="O439" s="6"/>
      <c r="Q439" s="6"/>
    </row>
    <row r="440">
      <c r="A440" s="6"/>
      <c r="G440" s="9"/>
      <c r="H440" s="9"/>
      <c r="O440" s="6"/>
      <c r="Q440" s="6"/>
    </row>
    <row r="441">
      <c r="A441" s="6"/>
      <c r="G441" s="9"/>
      <c r="H441" s="9"/>
      <c r="O441" s="6"/>
      <c r="Q441" s="6"/>
    </row>
    <row r="442">
      <c r="A442" s="6"/>
      <c r="G442" s="9"/>
      <c r="H442" s="9"/>
      <c r="O442" s="6"/>
      <c r="Q442" s="6"/>
    </row>
    <row r="443">
      <c r="A443" s="6"/>
      <c r="G443" s="9"/>
      <c r="H443" s="9"/>
      <c r="O443" s="6"/>
      <c r="Q443" s="6"/>
    </row>
    <row r="444">
      <c r="A444" s="6"/>
      <c r="G444" s="9"/>
      <c r="H444" s="9"/>
      <c r="O444" s="6"/>
      <c r="Q444" s="6"/>
    </row>
    <row r="445">
      <c r="A445" s="6"/>
      <c r="G445" s="9"/>
      <c r="H445" s="9"/>
      <c r="O445" s="6"/>
      <c r="Q445" s="6"/>
    </row>
    <row r="446">
      <c r="A446" s="6"/>
      <c r="G446" s="9"/>
      <c r="H446" s="9"/>
      <c r="O446" s="6"/>
      <c r="Q446" s="6"/>
    </row>
    <row r="447">
      <c r="A447" s="6"/>
      <c r="G447" s="9"/>
      <c r="H447" s="9"/>
      <c r="O447" s="6"/>
      <c r="Q447" s="6"/>
    </row>
    <row r="448">
      <c r="A448" s="6"/>
      <c r="G448" s="9"/>
      <c r="H448" s="9"/>
      <c r="O448" s="6"/>
      <c r="Q448" s="6"/>
    </row>
    <row r="449">
      <c r="A449" s="6"/>
      <c r="G449" s="9"/>
      <c r="H449" s="9"/>
      <c r="O449" s="6"/>
      <c r="Q449" s="6"/>
    </row>
    <row r="450">
      <c r="A450" s="6"/>
      <c r="G450" s="9"/>
      <c r="H450" s="9"/>
      <c r="O450" s="6"/>
      <c r="Q450" s="6"/>
    </row>
    <row r="451">
      <c r="A451" s="6"/>
      <c r="G451" s="9"/>
      <c r="H451" s="9"/>
      <c r="O451" s="6"/>
      <c r="Q451" s="6"/>
    </row>
    <row r="452">
      <c r="A452" s="6"/>
      <c r="G452" s="9"/>
      <c r="H452" s="9"/>
      <c r="O452" s="6"/>
      <c r="Q452" s="6"/>
    </row>
    <row r="453">
      <c r="A453" s="6"/>
      <c r="G453" s="9"/>
      <c r="H453" s="9"/>
      <c r="O453" s="6"/>
      <c r="Q453" s="6"/>
    </row>
    <row r="454">
      <c r="A454" s="6"/>
      <c r="G454" s="9"/>
      <c r="H454" s="9"/>
      <c r="O454" s="6"/>
      <c r="Q454" s="6"/>
    </row>
    <row r="455">
      <c r="A455" s="6"/>
      <c r="G455" s="9"/>
      <c r="H455" s="9"/>
      <c r="O455" s="6"/>
      <c r="Q455" s="6"/>
    </row>
    <row r="456">
      <c r="A456" s="6"/>
      <c r="G456" s="9"/>
      <c r="H456" s="9"/>
      <c r="O456" s="6"/>
      <c r="Q456" s="6"/>
    </row>
    <row r="457">
      <c r="A457" s="6"/>
      <c r="G457" s="9"/>
      <c r="H457" s="9"/>
      <c r="O457" s="6"/>
      <c r="Q457" s="6"/>
    </row>
    <row r="458">
      <c r="A458" s="6"/>
      <c r="G458" s="9"/>
      <c r="H458" s="9"/>
      <c r="O458" s="6"/>
      <c r="Q458" s="6"/>
    </row>
    <row r="459">
      <c r="A459" s="6"/>
      <c r="G459" s="9"/>
      <c r="H459" s="9"/>
      <c r="O459" s="6"/>
      <c r="Q459" s="6"/>
    </row>
    <row r="460">
      <c r="A460" s="6"/>
      <c r="G460" s="9"/>
      <c r="H460" s="9"/>
      <c r="O460" s="6"/>
      <c r="Q460" s="6"/>
    </row>
    <row r="461">
      <c r="A461" s="6"/>
      <c r="G461" s="9"/>
      <c r="H461" s="9"/>
      <c r="O461" s="6"/>
      <c r="Q461" s="6"/>
    </row>
    <row r="462">
      <c r="A462" s="6"/>
      <c r="G462" s="9"/>
      <c r="H462" s="9"/>
      <c r="O462" s="6"/>
      <c r="Q462" s="6"/>
    </row>
    <row r="463">
      <c r="A463" s="6"/>
      <c r="G463" s="9"/>
      <c r="H463" s="9"/>
      <c r="O463" s="6"/>
      <c r="Q463" s="6"/>
    </row>
    <row r="464">
      <c r="A464" s="6"/>
      <c r="G464" s="9"/>
      <c r="H464" s="9"/>
      <c r="O464" s="6"/>
      <c r="Q464" s="6"/>
    </row>
    <row r="465">
      <c r="A465" s="6"/>
      <c r="G465" s="9"/>
      <c r="H465" s="9"/>
      <c r="O465" s="6"/>
      <c r="Q465" s="6"/>
    </row>
    <row r="466">
      <c r="A466" s="6"/>
      <c r="G466" s="9"/>
      <c r="H466" s="9"/>
      <c r="O466" s="6"/>
      <c r="Q466" s="6"/>
    </row>
    <row r="467">
      <c r="A467" s="6"/>
      <c r="G467" s="9"/>
      <c r="H467" s="9"/>
      <c r="O467" s="6"/>
      <c r="Q467" s="6"/>
    </row>
    <row r="468">
      <c r="A468" s="6"/>
      <c r="G468" s="9"/>
      <c r="H468" s="9"/>
      <c r="O468" s="6"/>
      <c r="Q468" s="6"/>
    </row>
    <row r="469">
      <c r="A469" s="6"/>
      <c r="G469" s="9"/>
      <c r="H469" s="9"/>
      <c r="O469" s="6"/>
      <c r="Q469" s="6"/>
    </row>
    <row r="470">
      <c r="A470" s="6"/>
      <c r="G470" s="9"/>
      <c r="H470" s="9"/>
      <c r="O470" s="6"/>
      <c r="Q470" s="6"/>
    </row>
    <row r="471">
      <c r="A471" s="6"/>
      <c r="G471" s="9"/>
      <c r="H471" s="9"/>
      <c r="O471" s="6"/>
      <c r="Q471" s="6"/>
    </row>
    <row r="472">
      <c r="A472" s="6"/>
      <c r="G472" s="9"/>
      <c r="H472" s="9"/>
      <c r="O472" s="6"/>
      <c r="Q472" s="6"/>
    </row>
    <row r="473">
      <c r="A473" s="6"/>
      <c r="G473" s="9"/>
      <c r="H473" s="9"/>
      <c r="O473" s="6"/>
      <c r="Q473" s="6"/>
    </row>
    <row r="474">
      <c r="A474" s="6"/>
      <c r="G474" s="9"/>
      <c r="H474" s="9"/>
      <c r="O474" s="6"/>
      <c r="Q474" s="6"/>
    </row>
    <row r="475">
      <c r="A475" s="6"/>
      <c r="G475" s="9"/>
      <c r="H475" s="9"/>
      <c r="O475" s="6"/>
      <c r="Q475" s="6"/>
    </row>
    <row r="476">
      <c r="A476" s="6"/>
      <c r="G476" s="9"/>
      <c r="H476" s="9"/>
      <c r="O476" s="6"/>
      <c r="Q476" s="6"/>
    </row>
    <row r="477">
      <c r="A477" s="6"/>
      <c r="G477" s="9"/>
      <c r="H477" s="9"/>
      <c r="O477" s="6"/>
      <c r="Q477" s="6"/>
    </row>
    <row r="478">
      <c r="A478" s="6"/>
      <c r="G478" s="9"/>
      <c r="H478" s="9"/>
      <c r="O478" s="6"/>
      <c r="Q478" s="6"/>
    </row>
    <row r="479">
      <c r="A479" s="6"/>
      <c r="G479" s="9"/>
      <c r="H479" s="9"/>
      <c r="O479" s="6"/>
      <c r="Q479" s="6"/>
    </row>
    <row r="480">
      <c r="A480" s="6"/>
      <c r="G480" s="9"/>
      <c r="H480" s="9"/>
      <c r="O480" s="6"/>
      <c r="Q480" s="6"/>
    </row>
    <row r="481">
      <c r="A481" s="6"/>
      <c r="G481" s="9"/>
      <c r="H481" s="9"/>
      <c r="O481" s="6"/>
      <c r="Q481" s="6"/>
    </row>
    <row r="482">
      <c r="A482" s="6"/>
      <c r="G482" s="9"/>
      <c r="H482" s="9"/>
      <c r="O482" s="6"/>
      <c r="Q482" s="6"/>
    </row>
    <row r="483">
      <c r="A483" s="6"/>
      <c r="G483" s="9"/>
      <c r="H483" s="9"/>
      <c r="O483" s="6"/>
      <c r="Q483" s="6"/>
    </row>
    <row r="484">
      <c r="A484" s="6"/>
      <c r="G484" s="9"/>
      <c r="H484" s="9"/>
      <c r="O484" s="6"/>
      <c r="Q484" s="6"/>
    </row>
    <row r="485">
      <c r="A485" s="6"/>
      <c r="G485" s="9"/>
      <c r="H485" s="9"/>
      <c r="O485" s="6"/>
      <c r="Q485" s="6"/>
    </row>
    <row r="486">
      <c r="A486" s="6"/>
      <c r="G486" s="9"/>
      <c r="H486" s="9"/>
      <c r="O486" s="6"/>
      <c r="Q486" s="6"/>
    </row>
    <row r="487">
      <c r="A487" s="6"/>
      <c r="G487" s="9"/>
      <c r="H487" s="9"/>
      <c r="O487" s="6"/>
      <c r="Q487" s="6"/>
    </row>
    <row r="488">
      <c r="A488" s="6"/>
      <c r="G488" s="9"/>
      <c r="H488" s="9"/>
      <c r="O488" s="6"/>
      <c r="Q488" s="6"/>
    </row>
    <row r="489">
      <c r="A489" s="6"/>
      <c r="G489" s="9"/>
      <c r="H489" s="9"/>
      <c r="O489" s="6"/>
      <c r="Q489" s="6"/>
    </row>
    <row r="490">
      <c r="A490" s="6"/>
      <c r="G490" s="9"/>
      <c r="H490" s="9"/>
      <c r="O490" s="6"/>
      <c r="Q490" s="6"/>
    </row>
    <row r="491">
      <c r="A491" s="6"/>
      <c r="G491" s="9"/>
      <c r="H491" s="9"/>
      <c r="O491" s="6"/>
      <c r="Q491" s="6"/>
    </row>
    <row r="492">
      <c r="A492" s="6"/>
      <c r="G492" s="9"/>
      <c r="H492" s="9"/>
      <c r="O492" s="6"/>
      <c r="Q492" s="6"/>
    </row>
    <row r="493">
      <c r="A493" s="6"/>
      <c r="G493" s="9"/>
      <c r="H493" s="9"/>
      <c r="O493" s="6"/>
      <c r="Q493" s="6"/>
    </row>
    <row r="494">
      <c r="A494" s="6"/>
      <c r="G494" s="9"/>
      <c r="H494" s="9"/>
      <c r="O494" s="6"/>
      <c r="Q494" s="6"/>
    </row>
    <row r="495">
      <c r="A495" s="6"/>
      <c r="G495" s="9"/>
      <c r="H495" s="9"/>
      <c r="O495" s="6"/>
      <c r="Q495" s="6"/>
    </row>
    <row r="496">
      <c r="A496" s="6"/>
      <c r="G496" s="9"/>
      <c r="H496" s="9"/>
      <c r="O496" s="6"/>
      <c r="Q496" s="6"/>
    </row>
    <row r="497">
      <c r="A497" s="6"/>
      <c r="G497" s="9"/>
      <c r="H497" s="9"/>
      <c r="O497" s="6"/>
      <c r="Q497" s="6"/>
    </row>
    <row r="498">
      <c r="A498" s="6"/>
      <c r="G498" s="9"/>
      <c r="H498" s="9"/>
      <c r="O498" s="6"/>
      <c r="Q498" s="6"/>
    </row>
    <row r="499">
      <c r="A499" s="6"/>
      <c r="G499" s="9"/>
      <c r="H499" s="9"/>
      <c r="O499" s="6"/>
      <c r="Q499" s="6"/>
    </row>
    <row r="500">
      <c r="A500" s="6"/>
      <c r="G500" s="9"/>
      <c r="H500" s="9"/>
      <c r="O500" s="6"/>
      <c r="Q500" s="6"/>
    </row>
    <row r="501">
      <c r="A501" s="6"/>
      <c r="G501" s="9"/>
      <c r="H501" s="9"/>
      <c r="O501" s="6"/>
      <c r="Q501" s="6"/>
    </row>
    <row r="502">
      <c r="A502" s="6"/>
      <c r="G502" s="9"/>
      <c r="H502" s="9"/>
      <c r="O502" s="6"/>
      <c r="Q502" s="6"/>
    </row>
    <row r="503">
      <c r="A503" s="6"/>
      <c r="G503" s="9"/>
      <c r="H503" s="9"/>
      <c r="O503" s="6"/>
      <c r="Q503" s="6"/>
    </row>
    <row r="504">
      <c r="A504" s="6"/>
      <c r="G504" s="9"/>
      <c r="H504" s="9"/>
      <c r="O504" s="6"/>
      <c r="Q504" s="6"/>
    </row>
    <row r="505">
      <c r="A505" s="6"/>
      <c r="G505" s="9"/>
      <c r="H505" s="9"/>
      <c r="O505" s="6"/>
      <c r="Q505" s="6"/>
    </row>
    <row r="506">
      <c r="A506" s="6"/>
      <c r="G506" s="9"/>
      <c r="H506" s="9"/>
      <c r="O506" s="6"/>
      <c r="Q506" s="6"/>
    </row>
    <row r="507">
      <c r="A507" s="6"/>
      <c r="G507" s="9"/>
      <c r="H507" s="9"/>
      <c r="O507" s="6"/>
      <c r="Q507" s="6"/>
    </row>
    <row r="508">
      <c r="A508" s="6"/>
      <c r="G508" s="9"/>
      <c r="H508" s="9"/>
      <c r="O508" s="6"/>
      <c r="Q508" s="6"/>
    </row>
    <row r="509">
      <c r="A509" s="6"/>
      <c r="G509" s="9"/>
      <c r="H509" s="9"/>
      <c r="O509" s="6"/>
      <c r="Q509" s="6"/>
    </row>
    <row r="510">
      <c r="A510" s="6"/>
      <c r="G510" s="9"/>
      <c r="H510" s="9"/>
      <c r="O510" s="6"/>
      <c r="Q510" s="6"/>
    </row>
    <row r="511">
      <c r="A511" s="6"/>
      <c r="G511" s="9"/>
      <c r="H511" s="9"/>
      <c r="O511" s="6"/>
      <c r="Q511" s="6"/>
    </row>
    <row r="512">
      <c r="A512" s="6"/>
      <c r="G512" s="9"/>
      <c r="H512" s="9"/>
      <c r="O512" s="6"/>
      <c r="Q512" s="6"/>
    </row>
    <row r="513">
      <c r="A513" s="6"/>
      <c r="G513" s="9"/>
      <c r="H513" s="9"/>
      <c r="O513" s="6"/>
      <c r="Q513" s="6"/>
    </row>
    <row r="514">
      <c r="A514" s="6"/>
      <c r="G514" s="9"/>
      <c r="H514" s="9"/>
      <c r="O514" s="6"/>
      <c r="Q514" s="6"/>
    </row>
    <row r="515">
      <c r="A515" s="6"/>
      <c r="G515" s="9"/>
      <c r="H515" s="9"/>
      <c r="O515" s="6"/>
      <c r="Q515" s="6"/>
    </row>
    <row r="516">
      <c r="A516" s="6"/>
      <c r="G516" s="9"/>
      <c r="H516" s="9"/>
      <c r="O516" s="6"/>
      <c r="Q516" s="6"/>
    </row>
    <row r="517">
      <c r="A517" s="6"/>
      <c r="G517" s="9"/>
      <c r="H517" s="9"/>
      <c r="O517" s="6"/>
      <c r="Q517" s="6"/>
    </row>
    <row r="518">
      <c r="A518" s="6"/>
      <c r="G518" s="9"/>
      <c r="H518" s="9"/>
      <c r="O518" s="6"/>
      <c r="Q518" s="6"/>
    </row>
    <row r="519">
      <c r="A519" s="6"/>
      <c r="G519" s="9"/>
      <c r="H519" s="9"/>
      <c r="O519" s="6"/>
      <c r="Q519" s="6"/>
    </row>
    <row r="520">
      <c r="A520" s="6"/>
      <c r="G520" s="9"/>
      <c r="H520" s="9"/>
      <c r="O520" s="6"/>
      <c r="Q520" s="6"/>
    </row>
    <row r="521">
      <c r="A521" s="6"/>
      <c r="G521" s="9"/>
      <c r="H521" s="9"/>
      <c r="O521" s="6"/>
      <c r="Q521" s="6"/>
    </row>
    <row r="522">
      <c r="A522" s="6"/>
      <c r="G522" s="9"/>
      <c r="H522" s="9"/>
      <c r="O522" s="6"/>
      <c r="Q522" s="6"/>
    </row>
    <row r="523">
      <c r="A523" s="6"/>
      <c r="G523" s="9"/>
      <c r="H523" s="9"/>
      <c r="O523" s="6"/>
      <c r="Q523" s="6"/>
    </row>
    <row r="524">
      <c r="A524" s="6"/>
      <c r="G524" s="9"/>
      <c r="H524" s="9"/>
      <c r="O524" s="6"/>
      <c r="Q524" s="6"/>
    </row>
    <row r="525">
      <c r="A525" s="6"/>
      <c r="G525" s="9"/>
      <c r="H525" s="9"/>
      <c r="O525" s="6"/>
      <c r="Q525" s="6"/>
    </row>
    <row r="526">
      <c r="A526" s="6"/>
      <c r="G526" s="9"/>
      <c r="H526" s="9"/>
      <c r="O526" s="6"/>
      <c r="Q526" s="6"/>
    </row>
    <row r="527">
      <c r="A527" s="6"/>
      <c r="G527" s="9"/>
      <c r="H527" s="9"/>
      <c r="O527" s="6"/>
      <c r="Q527" s="6"/>
    </row>
    <row r="528">
      <c r="A528" s="6"/>
      <c r="G528" s="9"/>
      <c r="H528" s="9"/>
      <c r="O528" s="6"/>
      <c r="Q528" s="6"/>
    </row>
    <row r="529">
      <c r="A529" s="6"/>
      <c r="G529" s="9"/>
      <c r="H529" s="9"/>
      <c r="O529" s="6"/>
      <c r="Q529" s="6"/>
    </row>
    <row r="530">
      <c r="A530" s="6"/>
      <c r="G530" s="9"/>
      <c r="H530" s="9"/>
      <c r="O530" s="6"/>
      <c r="Q530" s="6"/>
    </row>
    <row r="531">
      <c r="A531" s="6"/>
      <c r="G531" s="9"/>
      <c r="H531" s="9"/>
      <c r="O531" s="6"/>
      <c r="Q531" s="6"/>
    </row>
    <row r="532">
      <c r="A532" s="6"/>
      <c r="G532" s="9"/>
      <c r="H532" s="9"/>
      <c r="O532" s="6"/>
      <c r="Q532" s="6"/>
    </row>
    <row r="533">
      <c r="A533" s="6"/>
      <c r="G533" s="9"/>
      <c r="H533" s="9"/>
      <c r="O533" s="6"/>
      <c r="Q533" s="6"/>
    </row>
    <row r="534">
      <c r="A534" s="6"/>
      <c r="G534" s="9"/>
      <c r="H534" s="9"/>
      <c r="O534" s="6"/>
      <c r="Q534" s="6"/>
    </row>
    <row r="535">
      <c r="A535" s="6"/>
      <c r="G535" s="9"/>
      <c r="H535" s="9"/>
      <c r="O535" s="6"/>
      <c r="Q535" s="6"/>
    </row>
    <row r="536">
      <c r="A536" s="6"/>
      <c r="G536" s="9"/>
      <c r="H536" s="9"/>
      <c r="O536" s="6"/>
      <c r="Q536" s="6"/>
    </row>
    <row r="537">
      <c r="A537" s="6"/>
      <c r="G537" s="9"/>
      <c r="H537" s="9"/>
      <c r="O537" s="6"/>
      <c r="Q537" s="6"/>
    </row>
    <row r="538">
      <c r="A538" s="6"/>
      <c r="G538" s="9"/>
      <c r="H538" s="9"/>
      <c r="O538" s="6"/>
      <c r="Q538" s="6"/>
    </row>
    <row r="539">
      <c r="A539" s="6"/>
      <c r="G539" s="9"/>
      <c r="H539" s="9"/>
      <c r="O539" s="6"/>
      <c r="Q539" s="6"/>
    </row>
    <row r="540">
      <c r="A540" s="6"/>
      <c r="G540" s="9"/>
      <c r="H540" s="9"/>
      <c r="O540" s="6"/>
      <c r="Q540" s="6"/>
    </row>
    <row r="541">
      <c r="A541" s="6"/>
      <c r="G541" s="9"/>
      <c r="H541" s="9"/>
      <c r="O541" s="6"/>
      <c r="Q541" s="6"/>
    </row>
    <row r="542">
      <c r="A542" s="6"/>
      <c r="G542" s="9"/>
      <c r="H542" s="9"/>
      <c r="O542" s="6"/>
      <c r="Q542" s="6"/>
    </row>
    <row r="543">
      <c r="A543" s="6"/>
      <c r="G543" s="9"/>
      <c r="H543" s="9"/>
      <c r="O543" s="6"/>
      <c r="Q543" s="6"/>
    </row>
    <row r="544">
      <c r="A544" s="6"/>
      <c r="G544" s="9"/>
      <c r="H544" s="9"/>
      <c r="O544" s="6"/>
      <c r="Q544" s="6"/>
    </row>
    <row r="545">
      <c r="A545" s="6"/>
      <c r="G545" s="9"/>
      <c r="H545" s="9"/>
      <c r="O545" s="6"/>
      <c r="Q545" s="6"/>
    </row>
    <row r="546">
      <c r="A546" s="6"/>
      <c r="G546" s="9"/>
      <c r="H546" s="9"/>
      <c r="O546" s="6"/>
      <c r="Q546" s="6"/>
    </row>
    <row r="547">
      <c r="A547" s="6"/>
      <c r="G547" s="9"/>
      <c r="H547" s="9"/>
      <c r="O547" s="6"/>
      <c r="Q547" s="6"/>
    </row>
    <row r="548">
      <c r="A548" s="6"/>
      <c r="G548" s="9"/>
      <c r="H548" s="9"/>
      <c r="O548" s="6"/>
      <c r="Q548" s="6"/>
    </row>
    <row r="549">
      <c r="A549" s="6"/>
      <c r="G549" s="9"/>
      <c r="H549" s="9"/>
      <c r="O549" s="6"/>
      <c r="Q549" s="6"/>
    </row>
    <row r="550">
      <c r="A550" s="6"/>
      <c r="G550" s="9"/>
      <c r="H550" s="9"/>
      <c r="O550" s="6"/>
      <c r="Q550" s="6"/>
    </row>
    <row r="551">
      <c r="A551" s="6"/>
      <c r="G551" s="9"/>
      <c r="H551" s="9"/>
      <c r="O551" s="6"/>
      <c r="Q551" s="6"/>
    </row>
    <row r="552">
      <c r="A552" s="6"/>
      <c r="G552" s="9"/>
      <c r="H552" s="9"/>
      <c r="O552" s="6"/>
      <c r="Q552" s="6"/>
    </row>
    <row r="553">
      <c r="A553" s="6"/>
      <c r="G553" s="9"/>
      <c r="H553" s="9"/>
      <c r="O553" s="6"/>
      <c r="Q553" s="6"/>
    </row>
    <row r="554">
      <c r="A554" s="6"/>
      <c r="G554" s="9"/>
      <c r="H554" s="9"/>
      <c r="O554" s="6"/>
      <c r="Q554" s="6"/>
    </row>
    <row r="555">
      <c r="A555" s="6"/>
      <c r="G555" s="9"/>
      <c r="H555" s="9"/>
      <c r="O555" s="6"/>
      <c r="Q555" s="6"/>
    </row>
    <row r="556">
      <c r="A556" s="6"/>
      <c r="G556" s="9"/>
      <c r="H556" s="9"/>
      <c r="O556" s="6"/>
      <c r="Q556" s="6"/>
    </row>
    <row r="557">
      <c r="A557" s="6"/>
      <c r="G557" s="9"/>
      <c r="H557" s="9"/>
      <c r="O557" s="6"/>
      <c r="Q557" s="6"/>
    </row>
    <row r="558">
      <c r="A558" s="6"/>
      <c r="G558" s="9"/>
      <c r="H558" s="9"/>
      <c r="O558" s="6"/>
      <c r="Q558" s="6"/>
    </row>
    <row r="559">
      <c r="A559" s="6"/>
      <c r="G559" s="9"/>
      <c r="H559" s="9"/>
      <c r="O559" s="6"/>
      <c r="Q559" s="6"/>
    </row>
    <row r="560">
      <c r="A560" s="6"/>
      <c r="G560" s="9"/>
      <c r="H560" s="9"/>
      <c r="O560" s="6"/>
      <c r="Q560" s="6"/>
    </row>
    <row r="561">
      <c r="A561" s="6"/>
      <c r="G561" s="9"/>
      <c r="H561" s="9"/>
      <c r="O561" s="6"/>
      <c r="Q561" s="6"/>
    </row>
    <row r="562">
      <c r="A562" s="6"/>
      <c r="G562" s="9"/>
      <c r="H562" s="9"/>
      <c r="O562" s="6"/>
      <c r="Q562" s="6"/>
    </row>
    <row r="563">
      <c r="A563" s="6"/>
      <c r="G563" s="9"/>
      <c r="H563" s="9"/>
      <c r="O563" s="6"/>
      <c r="Q563" s="6"/>
    </row>
    <row r="564">
      <c r="A564" s="6"/>
      <c r="G564" s="9"/>
      <c r="H564" s="9"/>
      <c r="O564" s="6"/>
      <c r="Q564" s="6"/>
    </row>
    <row r="565">
      <c r="A565" s="6"/>
      <c r="G565" s="9"/>
      <c r="H565" s="9"/>
      <c r="O565" s="6"/>
      <c r="Q565" s="6"/>
    </row>
    <row r="566">
      <c r="A566" s="6"/>
      <c r="G566" s="9"/>
      <c r="H566" s="9"/>
      <c r="O566" s="6"/>
      <c r="Q566" s="6"/>
    </row>
    <row r="567">
      <c r="A567" s="6"/>
      <c r="G567" s="9"/>
      <c r="H567" s="9"/>
      <c r="O567" s="6"/>
      <c r="Q567" s="6"/>
    </row>
    <row r="568">
      <c r="A568" s="6"/>
      <c r="G568" s="9"/>
      <c r="H568" s="9"/>
      <c r="O568" s="6"/>
      <c r="Q568" s="6"/>
    </row>
    <row r="569">
      <c r="A569" s="6"/>
      <c r="G569" s="9"/>
      <c r="H569" s="9"/>
      <c r="O569" s="6"/>
      <c r="Q569" s="6"/>
    </row>
    <row r="570">
      <c r="A570" s="6"/>
      <c r="G570" s="9"/>
      <c r="H570" s="9"/>
      <c r="O570" s="6"/>
      <c r="Q570" s="6"/>
    </row>
    <row r="571">
      <c r="A571" s="6"/>
      <c r="G571" s="9"/>
      <c r="H571" s="9"/>
      <c r="O571" s="6"/>
      <c r="Q571" s="6"/>
    </row>
    <row r="572">
      <c r="A572" s="6"/>
      <c r="G572" s="9"/>
      <c r="H572" s="9"/>
      <c r="O572" s="6"/>
      <c r="Q572" s="6"/>
    </row>
    <row r="573">
      <c r="A573" s="6"/>
      <c r="G573" s="9"/>
      <c r="H573" s="9"/>
      <c r="O573" s="6"/>
      <c r="Q573" s="6"/>
    </row>
    <row r="574">
      <c r="A574" s="6"/>
      <c r="G574" s="9"/>
      <c r="H574" s="9"/>
      <c r="O574" s="6"/>
      <c r="Q574" s="6"/>
    </row>
    <row r="575">
      <c r="A575" s="6"/>
      <c r="G575" s="9"/>
      <c r="H575" s="9"/>
      <c r="O575" s="6"/>
      <c r="Q575" s="6"/>
    </row>
    <row r="576">
      <c r="A576" s="6"/>
      <c r="G576" s="9"/>
      <c r="H576" s="9"/>
      <c r="O576" s="6"/>
      <c r="Q576" s="6"/>
    </row>
    <row r="577">
      <c r="A577" s="6"/>
      <c r="G577" s="9"/>
      <c r="H577" s="9"/>
      <c r="O577" s="6"/>
      <c r="Q577" s="6"/>
    </row>
    <row r="578">
      <c r="A578" s="6"/>
      <c r="G578" s="9"/>
      <c r="H578" s="9"/>
      <c r="O578" s="6"/>
      <c r="Q578" s="6"/>
    </row>
    <row r="579">
      <c r="A579" s="6"/>
      <c r="G579" s="9"/>
      <c r="H579" s="9"/>
      <c r="O579" s="6"/>
      <c r="Q579" s="6"/>
    </row>
    <row r="580">
      <c r="A580" s="6"/>
      <c r="G580" s="9"/>
      <c r="H580" s="9"/>
      <c r="O580" s="6"/>
      <c r="Q580" s="6"/>
    </row>
    <row r="581">
      <c r="A581" s="6"/>
      <c r="G581" s="9"/>
      <c r="H581" s="9"/>
      <c r="O581" s="6"/>
      <c r="Q581" s="6"/>
    </row>
    <row r="582">
      <c r="A582" s="6"/>
      <c r="G582" s="9"/>
      <c r="H582" s="9"/>
      <c r="O582" s="6"/>
      <c r="Q582" s="6"/>
    </row>
    <row r="583">
      <c r="A583" s="6"/>
      <c r="G583" s="9"/>
      <c r="H583" s="9"/>
      <c r="O583" s="6"/>
      <c r="Q583" s="6"/>
    </row>
    <row r="584">
      <c r="A584" s="6"/>
      <c r="G584" s="9"/>
      <c r="H584" s="9"/>
      <c r="O584" s="6"/>
      <c r="Q584" s="6"/>
    </row>
    <row r="585">
      <c r="A585" s="6"/>
      <c r="G585" s="9"/>
      <c r="H585" s="9"/>
      <c r="O585" s="6"/>
      <c r="Q585" s="6"/>
    </row>
    <row r="586">
      <c r="A586" s="6"/>
      <c r="G586" s="9"/>
      <c r="H586" s="9"/>
      <c r="O586" s="6"/>
      <c r="Q586" s="6"/>
    </row>
    <row r="587">
      <c r="A587" s="6"/>
      <c r="G587" s="9"/>
      <c r="H587" s="9"/>
      <c r="O587" s="6"/>
      <c r="Q587" s="6"/>
    </row>
    <row r="588">
      <c r="A588" s="6"/>
      <c r="G588" s="9"/>
      <c r="H588" s="9"/>
      <c r="O588" s="6"/>
      <c r="Q588" s="6"/>
    </row>
    <row r="589">
      <c r="A589" s="6"/>
      <c r="G589" s="9"/>
      <c r="H589" s="9"/>
      <c r="O589" s="6"/>
      <c r="Q589" s="6"/>
    </row>
    <row r="590">
      <c r="A590" s="6"/>
      <c r="G590" s="9"/>
      <c r="H590" s="9"/>
      <c r="O590" s="6"/>
      <c r="Q590" s="6"/>
    </row>
    <row r="591">
      <c r="A591" s="6"/>
      <c r="G591" s="9"/>
      <c r="H591" s="9"/>
      <c r="O591" s="6"/>
      <c r="Q591" s="6"/>
    </row>
    <row r="592">
      <c r="A592" s="6"/>
      <c r="G592" s="9"/>
      <c r="H592" s="9"/>
      <c r="O592" s="6"/>
      <c r="Q592" s="6"/>
    </row>
    <row r="593">
      <c r="A593" s="6"/>
      <c r="G593" s="9"/>
      <c r="H593" s="9"/>
      <c r="O593" s="6"/>
      <c r="Q593" s="6"/>
    </row>
    <row r="594">
      <c r="A594" s="6"/>
      <c r="G594" s="9"/>
      <c r="H594" s="9"/>
      <c r="O594" s="6"/>
      <c r="Q594" s="6"/>
    </row>
    <row r="595">
      <c r="A595" s="6"/>
      <c r="G595" s="9"/>
      <c r="H595" s="9"/>
      <c r="O595" s="6"/>
      <c r="Q595" s="6"/>
    </row>
    <row r="596">
      <c r="A596" s="6"/>
      <c r="G596" s="9"/>
      <c r="H596" s="9"/>
      <c r="O596" s="6"/>
      <c r="Q596" s="6"/>
    </row>
    <row r="597">
      <c r="A597" s="6"/>
      <c r="G597" s="9"/>
      <c r="H597" s="9"/>
      <c r="O597" s="6"/>
      <c r="Q597" s="6"/>
    </row>
    <row r="598">
      <c r="A598" s="6"/>
      <c r="G598" s="9"/>
      <c r="H598" s="9"/>
      <c r="O598" s="6"/>
      <c r="Q598" s="6"/>
    </row>
    <row r="599">
      <c r="A599" s="6"/>
      <c r="G599" s="9"/>
      <c r="H599" s="9"/>
      <c r="O599" s="6"/>
      <c r="Q599" s="6"/>
    </row>
    <row r="600">
      <c r="A600" s="6"/>
      <c r="G600" s="9"/>
      <c r="H600" s="9"/>
      <c r="O600" s="6"/>
      <c r="Q600" s="6"/>
    </row>
    <row r="601">
      <c r="A601" s="6"/>
      <c r="G601" s="9"/>
      <c r="H601" s="9"/>
      <c r="O601" s="6"/>
      <c r="Q601" s="6"/>
    </row>
    <row r="602">
      <c r="A602" s="6"/>
      <c r="G602" s="9"/>
      <c r="H602" s="9"/>
      <c r="O602" s="6"/>
      <c r="Q602" s="6"/>
    </row>
    <row r="603">
      <c r="A603" s="6"/>
      <c r="G603" s="9"/>
      <c r="H603" s="9"/>
      <c r="O603" s="6"/>
      <c r="Q603" s="6"/>
    </row>
    <row r="604">
      <c r="A604" s="6"/>
      <c r="G604" s="9"/>
      <c r="H604" s="9"/>
      <c r="O604" s="6"/>
      <c r="Q604" s="6"/>
    </row>
    <row r="605">
      <c r="A605" s="6"/>
      <c r="G605" s="9"/>
      <c r="H605" s="9"/>
      <c r="O605" s="6"/>
      <c r="Q605" s="6"/>
    </row>
    <row r="606">
      <c r="A606" s="6"/>
      <c r="G606" s="9"/>
      <c r="H606" s="9"/>
      <c r="O606" s="6"/>
      <c r="Q606" s="6"/>
    </row>
    <row r="607">
      <c r="A607" s="6"/>
      <c r="G607" s="9"/>
      <c r="H607" s="9"/>
      <c r="O607" s="6"/>
      <c r="Q607" s="6"/>
    </row>
    <row r="608">
      <c r="A608" s="6"/>
      <c r="G608" s="9"/>
      <c r="H608" s="9"/>
      <c r="O608" s="6"/>
      <c r="Q608" s="6"/>
    </row>
    <row r="609">
      <c r="A609" s="6"/>
      <c r="G609" s="9"/>
      <c r="H609" s="9"/>
      <c r="O609" s="6"/>
      <c r="Q609" s="6"/>
    </row>
    <row r="610">
      <c r="A610" s="6"/>
      <c r="G610" s="9"/>
      <c r="H610" s="9"/>
      <c r="O610" s="6"/>
      <c r="Q610" s="6"/>
    </row>
    <row r="611">
      <c r="A611" s="6"/>
      <c r="G611" s="9"/>
      <c r="H611" s="9"/>
      <c r="O611" s="6"/>
      <c r="Q611" s="6"/>
    </row>
    <row r="612">
      <c r="A612" s="6"/>
      <c r="G612" s="9"/>
      <c r="H612" s="9"/>
      <c r="O612" s="6"/>
      <c r="Q612" s="6"/>
    </row>
    <row r="613">
      <c r="A613" s="6"/>
      <c r="G613" s="9"/>
      <c r="H613" s="9"/>
      <c r="O613" s="6"/>
      <c r="Q613" s="6"/>
    </row>
    <row r="614">
      <c r="A614" s="6"/>
      <c r="G614" s="9"/>
      <c r="H614" s="9"/>
      <c r="O614" s="6"/>
      <c r="Q614" s="6"/>
    </row>
    <row r="615">
      <c r="A615" s="6"/>
      <c r="G615" s="9"/>
      <c r="H615" s="9"/>
      <c r="O615" s="6"/>
      <c r="Q615" s="6"/>
    </row>
    <row r="616">
      <c r="A616" s="6"/>
      <c r="G616" s="9"/>
      <c r="H616" s="9"/>
      <c r="O616" s="6"/>
      <c r="Q616" s="6"/>
    </row>
    <row r="617">
      <c r="A617" s="6"/>
      <c r="G617" s="9"/>
      <c r="H617" s="9"/>
      <c r="O617" s="6"/>
      <c r="Q617" s="6"/>
    </row>
    <row r="618">
      <c r="A618" s="6"/>
      <c r="G618" s="9"/>
      <c r="H618" s="9"/>
      <c r="O618" s="6"/>
      <c r="Q618" s="6"/>
    </row>
    <row r="619">
      <c r="A619" s="6"/>
      <c r="G619" s="9"/>
      <c r="H619" s="9"/>
      <c r="O619" s="6"/>
      <c r="Q619" s="6"/>
    </row>
    <row r="620">
      <c r="A620" s="6"/>
      <c r="G620" s="9"/>
      <c r="H620" s="9"/>
      <c r="O620" s="6"/>
      <c r="Q620" s="6"/>
    </row>
    <row r="621">
      <c r="A621" s="6"/>
      <c r="G621" s="9"/>
      <c r="H621" s="9"/>
      <c r="O621" s="6"/>
      <c r="Q621" s="6"/>
    </row>
    <row r="622">
      <c r="A622" s="6"/>
      <c r="G622" s="9"/>
      <c r="H622" s="9"/>
      <c r="O622" s="6"/>
      <c r="Q622" s="6"/>
    </row>
    <row r="623">
      <c r="A623" s="6"/>
      <c r="G623" s="9"/>
      <c r="H623" s="9"/>
      <c r="O623" s="6"/>
      <c r="Q623" s="6"/>
    </row>
    <row r="624">
      <c r="A624" s="6"/>
      <c r="G624" s="9"/>
      <c r="H624" s="9"/>
      <c r="O624" s="6"/>
      <c r="Q624" s="6"/>
    </row>
    <row r="625">
      <c r="A625" s="6"/>
      <c r="G625" s="9"/>
      <c r="H625" s="9"/>
      <c r="O625" s="6"/>
      <c r="Q625" s="6"/>
    </row>
    <row r="626">
      <c r="A626" s="6"/>
      <c r="G626" s="9"/>
      <c r="H626" s="9"/>
      <c r="O626" s="6"/>
      <c r="Q626" s="6"/>
    </row>
    <row r="627">
      <c r="A627" s="6"/>
      <c r="G627" s="9"/>
      <c r="H627" s="9"/>
      <c r="O627" s="6"/>
      <c r="Q627" s="6"/>
    </row>
    <row r="628">
      <c r="A628" s="6"/>
      <c r="G628" s="9"/>
      <c r="H628" s="9"/>
      <c r="O628" s="6"/>
      <c r="Q628" s="6"/>
    </row>
    <row r="629">
      <c r="A629" s="6"/>
      <c r="G629" s="9"/>
      <c r="H629" s="9"/>
      <c r="O629" s="6"/>
      <c r="Q629" s="6"/>
    </row>
    <row r="630">
      <c r="A630" s="6"/>
      <c r="G630" s="9"/>
      <c r="H630" s="9"/>
      <c r="O630" s="6"/>
      <c r="Q630" s="6"/>
    </row>
    <row r="631">
      <c r="A631" s="6"/>
      <c r="G631" s="9"/>
      <c r="H631" s="9"/>
      <c r="O631" s="6"/>
      <c r="Q631" s="6"/>
    </row>
    <row r="632">
      <c r="A632" s="6"/>
      <c r="G632" s="9"/>
      <c r="H632" s="9"/>
      <c r="O632" s="6"/>
      <c r="Q632" s="6"/>
    </row>
    <row r="633">
      <c r="A633" s="6"/>
      <c r="G633" s="9"/>
      <c r="H633" s="9"/>
      <c r="O633" s="6"/>
      <c r="Q633" s="6"/>
    </row>
    <row r="634">
      <c r="A634" s="6"/>
      <c r="G634" s="9"/>
      <c r="H634" s="9"/>
      <c r="O634" s="6"/>
      <c r="Q634" s="6"/>
    </row>
    <row r="635">
      <c r="A635" s="6"/>
      <c r="G635" s="9"/>
      <c r="H635" s="9"/>
      <c r="O635" s="6"/>
      <c r="Q635" s="6"/>
    </row>
    <row r="636">
      <c r="A636" s="6"/>
      <c r="G636" s="9"/>
      <c r="H636" s="9"/>
      <c r="O636" s="6"/>
      <c r="Q636" s="6"/>
    </row>
    <row r="637">
      <c r="A637" s="6"/>
      <c r="G637" s="9"/>
      <c r="H637" s="9"/>
      <c r="O637" s="6"/>
      <c r="Q637" s="6"/>
    </row>
    <row r="638">
      <c r="A638" s="6"/>
      <c r="G638" s="9"/>
      <c r="H638" s="9"/>
      <c r="O638" s="6"/>
      <c r="Q638" s="6"/>
    </row>
    <row r="639">
      <c r="A639" s="6"/>
      <c r="G639" s="9"/>
      <c r="H639" s="9"/>
      <c r="O639" s="6"/>
      <c r="Q639" s="6"/>
    </row>
    <row r="640">
      <c r="A640" s="6"/>
      <c r="G640" s="9"/>
      <c r="H640" s="9"/>
      <c r="O640" s="6"/>
      <c r="Q640" s="6"/>
    </row>
    <row r="641">
      <c r="A641" s="6"/>
      <c r="G641" s="9"/>
      <c r="H641" s="9"/>
      <c r="O641" s="6"/>
      <c r="Q641" s="6"/>
    </row>
    <row r="642">
      <c r="A642" s="6"/>
      <c r="G642" s="9"/>
      <c r="H642" s="9"/>
      <c r="O642" s="6"/>
      <c r="Q642" s="6"/>
    </row>
    <row r="643">
      <c r="A643" s="6"/>
      <c r="G643" s="9"/>
      <c r="H643" s="9"/>
      <c r="O643" s="6"/>
      <c r="Q643" s="6"/>
    </row>
    <row r="644">
      <c r="A644" s="6"/>
      <c r="G644" s="9"/>
      <c r="H644" s="9"/>
      <c r="O644" s="6"/>
      <c r="Q644" s="6"/>
    </row>
    <row r="645">
      <c r="A645" s="6"/>
      <c r="G645" s="9"/>
      <c r="H645" s="9"/>
      <c r="O645" s="6"/>
      <c r="Q645" s="6"/>
    </row>
    <row r="646">
      <c r="A646" s="6"/>
      <c r="G646" s="9"/>
      <c r="H646" s="9"/>
      <c r="O646" s="6"/>
      <c r="Q646" s="6"/>
    </row>
    <row r="647">
      <c r="A647" s="6"/>
      <c r="G647" s="9"/>
      <c r="H647" s="9"/>
      <c r="O647" s="6"/>
      <c r="Q647" s="6"/>
    </row>
    <row r="648">
      <c r="A648" s="6"/>
      <c r="G648" s="9"/>
      <c r="H648" s="9"/>
      <c r="O648" s="6"/>
      <c r="Q648" s="6"/>
    </row>
    <row r="649">
      <c r="A649" s="6"/>
      <c r="G649" s="9"/>
      <c r="H649" s="9"/>
      <c r="O649" s="6"/>
      <c r="Q649" s="6"/>
    </row>
    <row r="650">
      <c r="A650" s="6"/>
      <c r="G650" s="9"/>
      <c r="H650" s="9"/>
      <c r="O650" s="6"/>
      <c r="Q650" s="6"/>
    </row>
    <row r="651">
      <c r="A651" s="6"/>
      <c r="G651" s="9"/>
      <c r="H651" s="9"/>
      <c r="O651" s="6"/>
      <c r="Q651" s="6"/>
    </row>
    <row r="652">
      <c r="A652" s="6"/>
      <c r="G652" s="9"/>
      <c r="H652" s="9"/>
      <c r="O652" s="6"/>
      <c r="Q652" s="6"/>
    </row>
    <row r="653">
      <c r="A653" s="6"/>
      <c r="G653" s="9"/>
      <c r="H653" s="9"/>
      <c r="O653" s="6"/>
      <c r="Q653" s="6"/>
    </row>
    <row r="654">
      <c r="A654" s="6"/>
      <c r="G654" s="9"/>
      <c r="H654" s="9"/>
      <c r="O654" s="6"/>
      <c r="Q654" s="6"/>
    </row>
    <row r="655">
      <c r="A655" s="6"/>
      <c r="G655" s="9"/>
      <c r="H655" s="9"/>
      <c r="O655" s="6"/>
      <c r="Q655" s="6"/>
    </row>
    <row r="656">
      <c r="A656" s="6"/>
      <c r="G656" s="9"/>
      <c r="H656" s="9"/>
      <c r="O656" s="6"/>
      <c r="Q656" s="6"/>
    </row>
    <row r="657">
      <c r="A657" s="6"/>
      <c r="G657" s="9"/>
      <c r="H657" s="9"/>
      <c r="O657" s="6"/>
      <c r="Q657" s="6"/>
    </row>
    <row r="658">
      <c r="A658" s="6"/>
      <c r="G658" s="9"/>
      <c r="H658" s="9"/>
      <c r="O658" s="6"/>
      <c r="Q658" s="6"/>
    </row>
    <row r="659">
      <c r="A659" s="6"/>
      <c r="G659" s="9"/>
      <c r="H659" s="9"/>
      <c r="O659" s="6"/>
      <c r="Q659" s="6"/>
    </row>
    <row r="660">
      <c r="A660" s="6"/>
      <c r="G660" s="9"/>
      <c r="H660" s="9"/>
      <c r="O660" s="6"/>
      <c r="Q660" s="6"/>
    </row>
    <row r="661">
      <c r="A661" s="6"/>
      <c r="G661" s="9"/>
      <c r="H661" s="9"/>
      <c r="O661" s="6"/>
      <c r="Q661" s="6"/>
    </row>
    <row r="662">
      <c r="A662" s="6"/>
      <c r="G662" s="9"/>
      <c r="H662" s="9"/>
      <c r="O662" s="6"/>
      <c r="Q662" s="6"/>
    </row>
    <row r="663">
      <c r="A663" s="6"/>
      <c r="G663" s="9"/>
      <c r="H663" s="9"/>
      <c r="O663" s="6"/>
      <c r="Q663" s="6"/>
    </row>
    <row r="664">
      <c r="A664" s="6"/>
      <c r="G664" s="9"/>
      <c r="H664" s="9"/>
      <c r="O664" s="6"/>
      <c r="Q664" s="6"/>
    </row>
    <row r="665">
      <c r="A665" s="6"/>
      <c r="G665" s="9"/>
      <c r="H665" s="9"/>
      <c r="O665" s="6"/>
      <c r="Q665" s="6"/>
    </row>
    <row r="666">
      <c r="A666" s="6"/>
      <c r="G666" s="9"/>
      <c r="H666" s="9"/>
      <c r="O666" s="6"/>
      <c r="Q666" s="6"/>
    </row>
    <row r="667">
      <c r="A667" s="6"/>
      <c r="G667" s="9"/>
      <c r="H667" s="9"/>
      <c r="O667" s="6"/>
      <c r="Q667" s="6"/>
    </row>
    <row r="668">
      <c r="A668" s="6"/>
      <c r="G668" s="9"/>
      <c r="H668" s="9"/>
      <c r="O668" s="6"/>
      <c r="Q668" s="6"/>
    </row>
    <row r="669">
      <c r="A669" s="6"/>
      <c r="G669" s="9"/>
      <c r="H669" s="9"/>
      <c r="O669" s="6"/>
      <c r="Q669" s="6"/>
    </row>
    <row r="670">
      <c r="A670" s="6"/>
      <c r="G670" s="9"/>
      <c r="H670" s="9"/>
      <c r="O670" s="6"/>
      <c r="Q670" s="6"/>
    </row>
    <row r="671">
      <c r="A671" s="6"/>
      <c r="G671" s="9"/>
      <c r="H671" s="9"/>
      <c r="O671" s="6"/>
      <c r="Q671" s="6"/>
    </row>
    <row r="672">
      <c r="A672" s="6"/>
      <c r="G672" s="9"/>
      <c r="H672" s="9"/>
      <c r="O672" s="6"/>
      <c r="Q672" s="6"/>
    </row>
    <row r="673">
      <c r="A673" s="6"/>
      <c r="G673" s="9"/>
      <c r="H673" s="9"/>
      <c r="O673" s="6"/>
      <c r="Q673" s="6"/>
    </row>
    <row r="674">
      <c r="A674" s="6"/>
      <c r="G674" s="9"/>
      <c r="H674" s="9"/>
      <c r="O674" s="6"/>
      <c r="Q674" s="6"/>
    </row>
    <row r="675">
      <c r="A675" s="6"/>
      <c r="G675" s="9"/>
      <c r="H675" s="9"/>
      <c r="O675" s="6"/>
      <c r="Q675" s="6"/>
    </row>
    <row r="676">
      <c r="A676" s="6"/>
      <c r="G676" s="9"/>
      <c r="H676" s="9"/>
      <c r="O676" s="6"/>
      <c r="Q676" s="6"/>
    </row>
    <row r="677">
      <c r="A677" s="6"/>
      <c r="G677" s="9"/>
      <c r="H677" s="9"/>
      <c r="O677" s="6"/>
      <c r="Q677" s="6"/>
    </row>
    <row r="678">
      <c r="A678" s="6"/>
      <c r="G678" s="9"/>
      <c r="H678" s="9"/>
      <c r="O678" s="6"/>
      <c r="Q678" s="6"/>
    </row>
    <row r="679">
      <c r="A679" s="6"/>
      <c r="G679" s="9"/>
      <c r="H679" s="9"/>
      <c r="O679" s="6"/>
      <c r="Q679" s="6"/>
    </row>
    <row r="680">
      <c r="A680" s="6"/>
      <c r="G680" s="9"/>
      <c r="H680" s="9"/>
      <c r="O680" s="6"/>
      <c r="Q680" s="6"/>
    </row>
    <row r="681">
      <c r="A681" s="6"/>
      <c r="G681" s="9"/>
      <c r="H681" s="9"/>
      <c r="O681" s="6"/>
      <c r="Q681" s="6"/>
    </row>
    <row r="682">
      <c r="A682" s="6"/>
      <c r="G682" s="9"/>
      <c r="H682" s="9"/>
      <c r="O682" s="6"/>
      <c r="Q682" s="6"/>
    </row>
    <row r="683">
      <c r="A683" s="6"/>
      <c r="G683" s="9"/>
      <c r="H683" s="9"/>
      <c r="O683" s="6"/>
      <c r="Q683" s="6"/>
    </row>
    <row r="684">
      <c r="A684" s="6"/>
      <c r="G684" s="9"/>
      <c r="H684" s="9"/>
      <c r="O684" s="6"/>
      <c r="Q684" s="6"/>
    </row>
    <row r="685">
      <c r="A685" s="6"/>
      <c r="G685" s="9"/>
      <c r="H685" s="9"/>
      <c r="O685" s="6"/>
      <c r="Q685" s="6"/>
    </row>
    <row r="686">
      <c r="A686" s="6"/>
      <c r="G686" s="9"/>
      <c r="H686" s="9"/>
      <c r="O686" s="6"/>
      <c r="Q686" s="6"/>
    </row>
    <row r="687">
      <c r="A687" s="6"/>
      <c r="G687" s="9"/>
      <c r="H687" s="9"/>
      <c r="O687" s="6"/>
      <c r="Q687" s="6"/>
    </row>
    <row r="688">
      <c r="A688" s="6"/>
      <c r="G688" s="9"/>
      <c r="H688" s="9"/>
      <c r="O688" s="6"/>
      <c r="Q688" s="6"/>
    </row>
    <row r="689">
      <c r="A689" s="6"/>
      <c r="G689" s="9"/>
      <c r="H689" s="9"/>
      <c r="O689" s="6"/>
      <c r="Q689" s="6"/>
    </row>
    <row r="690">
      <c r="A690" s="6"/>
      <c r="G690" s="9"/>
      <c r="H690" s="9"/>
      <c r="O690" s="6"/>
      <c r="Q690" s="6"/>
    </row>
    <row r="691">
      <c r="A691" s="6"/>
      <c r="G691" s="9"/>
      <c r="H691" s="9"/>
      <c r="O691" s="6"/>
      <c r="Q691" s="6"/>
    </row>
    <row r="692">
      <c r="A692" s="6"/>
      <c r="G692" s="9"/>
      <c r="H692" s="9"/>
      <c r="O692" s="6"/>
      <c r="Q692" s="6"/>
    </row>
    <row r="693">
      <c r="A693" s="6"/>
      <c r="G693" s="9"/>
      <c r="H693" s="9"/>
      <c r="O693" s="6"/>
      <c r="Q693" s="6"/>
    </row>
    <row r="694">
      <c r="A694" s="6"/>
      <c r="G694" s="9"/>
      <c r="H694" s="9"/>
      <c r="O694" s="6"/>
      <c r="Q694" s="6"/>
    </row>
    <row r="695">
      <c r="A695" s="6"/>
      <c r="G695" s="9"/>
      <c r="H695" s="9"/>
      <c r="O695" s="6"/>
      <c r="Q695" s="6"/>
    </row>
    <row r="696">
      <c r="A696" s="6"/>
      <c r="G696" s="9"/>
      <c r="H696" s="9"/>
      <c r="O696" s="6"/>
      <c r="Q696" s="6"/>
    </row>
    <row r="697">
      <c r="A697" s="6"/>
      <c r="G697" s="9"/>
      <c r="H697" s="9"/>
      <c r="O697" s="6"/>
      <c r="Q697" s="6"/>
    </row>
    <row r="698">
      <c r="A698" s="6"/>
      <c r="G698" s="9"/>
      <c r="H698" s="9"/>
      <c r="O698" s="6"/>
      <c r="Q698" s="6"/>
    </row>
    <row r="699">
      <c r="A699" s="6"/>
      <c r="G699" s="9"/>
      <c r="H699" s="9"/>
      <c r="O699" s="6"/>
      <c r="Q699" s="6"/>
    </row>
    <row r="700">
      <c r="A700" s="6"/>
      <c r="G700" s="9"/>
      <c r="H700" s="9"/>
      <c r="O700" s="6"/>
      <c r="Q700" s="6"/>
    </row>
    <row r="701">
      <c r="A701" s="6"/>
      <c r="G701" s="9"/>
      <c r="H701" s="9"/>
      <c r="O701" s="6"/>
      <c r="Q701" s="6"/>
    </row>
    <row r="702">
      <c r="A702" s="6"/>
      <c r="G702" s="9"/>
      <c r="H702" s="9"/>
      <c r="O702" s="6"/>
      <c r="Q702" s="6"/>
    </row>
    <row r="703">
      <c r="A703" s="6"/>
      <c r="G703" s="9"/>
      <c r="H703" s="9"/>
      <c r="O703" s="6"/>
      <c r="Q703" s="6"/>
    </row>
    <row r="704">
      <c r="A704" s="6"/>
      <c r="G704" s="9"/>
      <c r="H704" s="9"/>
      <c r="O704" s="6"/>
      <c r="Q704" s="6"/>
    </row>
    <row r="705">
      <c r="A705" s="6"/>
      <c r="G705" s="9"/>
      <c r="H705" s="9"/>
      <c r="O705" s="6"/>
      <c r="Q705" s="6"/>
    </row>
    <row r="706">
      <c r="A706" s="6"/>
      <c r="G706" s="9"/>
      <c r="H706" s="9"/>
      <c r="O706" s="6"/>
      <c r="Q706" s="6"/>
    </row>
    <row r="707">
      <c r="A707" s="6"/>
      <c r="G707" s="9"/>
      <c r="H707" s="9"/>
      <c r="O707" s="6"/>
      <c r="Q707" s="6"/>
    </row>
    <row r="708">
      <c r="A708" s="6"/>
      <c r="G708" s="9"/>
      <c r="H708" s="9"/>
      <c r="O708" s="6"/>
      <c r="Q708" s="6"/>
    </row>
    <row r="709">
      <c r="A709" s="6"/>
      <c r="G709" s="9"/>
      <c r="H709" s="9"/>
      <c r="O709" s="6"/>
      <c r="Q709" s="6"/>
    </row>
    <row r="710">
      <c r="A710" s="6"/>
      <c r="G710" s="9"/>
      <c r="H710" s="9"/>
      <c r="O710" s="6"/>
      <c r="Q710" s="6"/>
    </row>
    <row r="711">
      <c r="A711" s="6"/>
      <c r="G711" s="9"/>
      <c r="H711" s="9"/>
      <c r="O711" s="6"/>
      <c r="Q711" s="6"/>
    </row>
    <row r="712">
      <c r="A712" s="6"/>
      <c r="G712" s="9"/>
      <c r="H712" s="9"/>
      <c r="O712" s="6"/>
      <c r="Q712" s="6"/>
    </row>
    <row r="713">
      <c r="A713" s="6"/>
      <c r="G713" s="9"/>
      <c r="H713" s="9"/>
      <c r="O713" s="6"/>
      <c r="Q713" s="6"/>
    </row>
    <row r="714">
      <c r="A714" s="6"/>
      <c r="G714" s="9"/>
      <c r="H714" s="9"/>
      <c r="O714" s="6"/>
      <c r="Q714" s="6"/>
    </row>
    <row r="715">
      <c r="A715" s="6"/>
      <c r="G715" s="9"/>
      <c r="H715" s="9"/>
      <c r="O715" s="6"/>
      <c r="Q715" s="6"/>
    </row>
    <row r="716">
      <c r="A716" s="6"/>
      <c r="G716" s="9"/>
      <c r="H716" s="9"/>
      <c r="O716" s="6"/>
      <c r="Q716" s="6"/>
    </row>
    <row r="717">
      <c r="A717" s="6"/>
      <c r="G717" s="9"/>
      <c r="H717" s="9"/>
      <c r="O717" s="6"/>
      <c r="Q717" s="6"/>
    </row>
    <row r="718">
      <c r="A718" s="6"/>
      <c r="G718" s="9"/>
      <c r="H718" s="9"/>
      <c r="O718" s="6"/>
      <c r="Q718" s="6"/>
    </row>
    <row r="719">
      <c r="A719" s="6"/>
      <c r="G719" s="9"/>
      <c r="H719" s="9"/>
      <c r="O719" s="6"/>
      <c r="Q719" s="6"/>
    </row>
    <row r="720">
      <c r="A720" s="6"/>
      <c r="G720" s="9"/>
      <c r="H720" s="9"/>
      <c r="O720" s="6"/>
      <c r="Q720" s="6"/>
    </row>
    <row r="721">
      <c r="A721" s="6"/>
      <c r="G721" s="9"/>
      <c r="H721" s="9"/>
      <c r="O721" s="6"/>
      <c r="Q721" s="6"/>
    </row>
    <row r="722">
      <c r="A722" s="6"/>
      <c r="G722" s="9"/>
      <c r="H722" s="9"/>
      <c r="O722" s="6"/>
      <c r="Q722" s="6"/>
    </row>
    <row r="723">
      <c r="A723" s="6"/>
      <c r="G723" s="9"/>
      <c r="H723" s="9"/>
      <c r="O723" s="6"/>
      <c r="Q723" s="6"/>
    </row>
    <row r="724">
      <c r="A724" s="6"/>
      <c r="G724" s="9"/>
      <c r="H724" s="9"/>
      <c r="O724" s="6"/>
      <c r="Q724" s="6"/>
    </row>
    <row r="725">
      <c r="A725" s="6"/>
      <c r="G725" s="9"/>
      <c r="H725" s="9"/>
      <c r="O725" s="6"/>
      <c r="Q725" s="6"/>
    </row>
    <row r="726">
      <c r="A726" s="6"/>
      <c r="G726" s="9"/>
      <c r="H726" s="9"/>
      <c r="O726" s="6"/>
      <c r="Q726" s="6"/>
    </row>
    <row r="727">
      <c r="A727" s="6"/>
      <c r="G727" s="9"/>
      <c r="H727" s="9"/>
      <c r="O727" s="6"/>
      <c r="Q727" s="6"/>
    </row>
    <row r="728">
      <c r="A728" s="6"/>
      <c r="G728" s="9"/>
      <c r="H728" s="9"/>
      <c r="O728" s="6"/>
      <c r="Q728" s="6"/>
    </row>
    <row r="729">
      <c r="A729" s="6"/>
      <c r="G729" s="9"/>
      <c r="H729" s="9"/>
      <c r="O729" s="6"/>
      <c r="Q729" s="6"/>
    </row>
    <row r="730">
      <c r="A730" s="6"/>
      <c r="G730" s="9"/>
      <c r="H730" s="9"/>
      <c r="O730" s="6"/>
      <c r="Q730" s="6"/>
    </row>
    <row r="731">
      <c r="A731" s="6"/>
      <c r="G731" s="9"/>
      <c r="H731" s="9"/>
      <c r="O731" s="6"/>
      <c r="Q731" s="6"/>
    </row>
    <row r="732">
      <c r="A732" s="6"/>
      <c r="G732" s="9"/>
      <c r="H732" s="9"/>
      <c r="O732" s="6"/>
      <c r="Q732" s="6"/>
    </row>
    <row r="733">
      <c r="A733" s="6"/>
      <c r="G733" s="9"/>
      <c r="H733" s="9"/>
      <c r="O733" s="6"/>
      <c r="Q733" s="6"/>
    </row>
    <row r="734">
      <c r="A734" s="6"/>
      <c r="G734" s="9"/>
      <c r="H734" s="9"/>
      <c r="O734" s="6"/>
      <c r="Q734" s="6"/>
    </row>
    <row r="735">
      <c r="A735" s="6"/>
      <c r="G735" s="9"/>
      <c r="H735" s="9"/>
      <c r="O735" s="6"/>
      <c r="Q735" s="6"/>
    </row>
    <row r="736">
      <c r="A736" s="6"/>
      <c r="G736" s="9"/>
      <c r="H736" s="9"/>
      <c r="O736" s="6"/>
      <c r="Q736" s="6"/>
    </row>
    <row r="737">
      <c r="A737" s="6"/>
      <c r="G737" s="9"/>
      <c r="H737" s="9"/>
      <c r="O737" s="6"/>
      <c r="Q737" s="6"/>
    </row>
    <row r="738">
      <c r="A738" s="6"/>
      <c r="G738" s="9"/>
      <c r="H738" s="9"/>
      <c r="O738" s="6"/>
      <c r="Q738" s="6"/>
    </row>
    <row r="739">
      <c r="A739" s="6"/>
      <c r="G739" s="9"/>
      <c r="H739" s="9"/>
      <c r="O739" s="6"/>
      <c r="Q739" s="6"/>
    </row>
    <row r="740">
      <c r="A740" s="6"/>
      <c r="G740" s="9"/>
      <c r="H740" s="9"/>
      <c r="O740" s="6"/>
      <c r="Q740" s="6"/>
    </row>
    <row r="741">
      <c r="A741" s="6"/>
      <c r="G741" s="9"/>
      <c r="H741" s="9"/>
      <c r="O741" s="6"/>
      <c r="Q741" s="6"/>
    </row>
    <row r="742">
      <c r="A742" s="6"/>
      <c r="G742" s="9"/>
      <c r="H742" s="9"/>
      <c r="O742" s="6"/>
      <c r="Q742" s="6"/>
    </row>
    <row r="743">
      <c r="A743" s="6"/>
      <c r="G743" s="9"/>
      <c r="H743" s="9"/>
      <c r="O743" s="6"/>
      <c r="Q743" s="6"/>
    </row>
    <row r="744">
      <c r="A744" s="6"/>
      <c r="G744" s="9"/>
      <c r="H744" s="9"/>
      <c r="O744" s="6"/>
      <c r="Q744" s="6"/>
    </row>
    <row r="745">
      <c r="A745" s="6"/>
      <c r="G745" s="9"/>
      <c r="H745" s="9"/>
      <c r="O745" s="6"/>
      <c r="Q745" s="6"/>
    </row>
    <row r="746">
      <c r="A746" s="6"/>
      <c r="G746" s="9"/>
      <c r="H746" s="9"/>
      <c r="O746" s="6"/>
      <c r="Q746" s="6"/>
    </row>
    <row r="747">
      <c r="A747" s="6"/>
      <c r="G747" s="9"/>
      <c r="H747" s="9"/>
      <c r="O747" s="6"/>
      <c r="Q747" s="6"/>
    </row>
    <row r="748">
      <c r="A748" s="6"/>
      <c r="G748" s="9"/>
      <c r="H748" s="9"/>
      <c r="O748" s="6"/>
      <c r="Q748" s="6"/>
    </row>
    <row r="749">
      <c r="A749" s="6"/>
      <c r="G749" s="9"/>
      <c r="H749" s="9"/>
      <c r="O749" s="6"/>
      <c r="Q749" s="6"/>
    </row>
    <row r="750">
      <c r="A750" s="6"/>
      <c r="G750" s="9"/>
      <c r="H750" s="9"/>
      <c r="O750" s="6"/>
      <c r="Q750" s="6"/>
    </row>
    <row r="751">
      <c r="A751" s="6"/>
      <c r="G751" s="9"/>
      <c r="H751" s="9"/>
      <c r="O751" s="6"/>
      <c r="Q751" s="6"/>
    </row>
    <row r="752">
      <c r="A752" s="6"/>
      <c r="G752" s="9"/>
      <c r="H752" s="9"/>
      <c r="O752" s="6"/>
      <c r="Q752" s="6"/>
    </row>
    <row r="753">
      <c r="A753" s="6"/>
      <c r="G753" s="9"/>
      <c r="H753" s="9"/>
      <c r="O753" s="6"/>
      <c r="Q753" s="6"/>
    </row>
    <row r="754">
      <c r="A754" s="6"/>
      <c r="G754" s="9"/>
      <c r="H754" s="9"/>
      <c r="O754" s="6"/>
      <c r="Q754" s="6"/>
    </row>
    <row r="755">
      <c r="A755" s="6"/>
      <c r="G755" s="9"/>
      <c r="H755" s="9"/>
      <c r="O755" s="6"/>
      <c r="Q755" s="6"/>
    </row>
    <row r="756">
      <c r="A756" s="6"/>
      <c r="G756" s="9"/>
      <c r="H756" s="9"/>
      <c r="O756" s="6"/>
      <c r="Q756" s="6"/>
    </row>
    <row r="757">
      <c r="A757" s="6"/>
      <c r="G757" s="9"/>
      <c r="H757" s="9"/>
      <c r="O757" s="6"/>
      <c r="Q757" s="6"/>
    </row>
    <row r="758">
      <c r="A758" s="6"/>
      <c r="G758" s="9"/>
      <c r="H758" s="9"/>
      <c r="O758" s="6"/>
      <c r="Q758" s="6"/>
    </row>
    <row r="759">
      <c r="A759" s="6"/>
      <c r="G759" s="9"/>
      <c r="H759" s="9"/>
      <c r="O759" s="6"/>
      <c r="Q759" s="6"/>
    </row>
    <row r="760">
      <c r="A760" s="6"/>
      <c r="G760" s="9"/>
      <c r="H760" s="9"/>
      <c r="O760" s="6"/>
      <c r="Q760" s="6"/>
    </row>
    <row r="761">
      <c r="A761" s="6"/>
      <c r="G761" s="9"/>
      <c r="H761" s="9"/>
      <c r="O761" s="6"/>
      <c r="Q761" s="6"/>
    </row>
    <row r="762">
      <c r="A762" s="6"/>
      <c r="G762" s="9"/>
      <c r="H762" s="9"/>
      <c r="O762" s="6"/>
      <c r="Q762" s="6"/>
    </row>
    <row r="763">
      <c r="A763" s="6"/>
      <c r="G763" s="9"/>
      <c r="H763" s="9"/>
      <c r="O763" s="6"/>
      <c r="Q763" s="6"/>
    </row>
    <row r="764">
      <c r="A764" s="6"/>
      <c r="G764" s="9"/>
      <c r="H764" s="9"/>
      <c r="O764" s="6"/>
      <c r="Q764" s="6"/>
    </row>
    <row r="765">
      <c r="A765" s="6"/>
      <c r="G765" s="9"/>
      <c r="H765" s="9"/>
      <c r="O765" s="6"/>
      <c r="Q765" s="6"/>
    </row>
    <row r="766">
      <c r="A766" s="6"/>
      <c r="G766" s="9"/>
      <c r="H766" s="9"/>
      <c r="O766" s="6"/>
      <c r="Q766" s="6"/>
    </row>
    <row r="767">
      <c r="A767" s="6"/>
      <c r="G767" s="9"/>
      <c r="H767" s="9"/>
      <c r="O767" s="6"/>
      <c r="Q767" s="6"/>
    </row>
    <row r="768">
      <c r="A768" s="6"/>
      <c r="G768" s="9"/>
      <c r="H768" s="9"/>
      <c r="O768" s="6"/>
      <c r="Q768" s="6"/>
    </row>
    <row r="769">
      <c r="A769" s="6"/>
      <c r="G769" s="9"/>
      <c r="H769" s="9"/>
      <c r="O769" s="6"/>
      <c r="Q769" s="6"/>
    </row>
    <row r="770">
      <c r="A770" s="6"/>
      <c r="G770" s="9"/>
      <c r="H770" s="9"/>
      <c r="O770" s="6"/>
      <c r="Q770" s="6"/>
    </row>
    <row r="771">
      <c r="A771" s="6"/>
      <c r="G771" s="9"/>
      <c r="H771" s="9"/>
      <c r="O771" s="6"/>
      <c r="Q771" s="6"/>
    </row>
    <row r="772">
      <c r="A772" s="6"/>
      <c r="G772" s="9"/>
      <c r="H772" s="9"/>
      <c r="O772" s="6"/>
      <c r="Q772" s="6"/>
    </row>
    <row r="773">
      <c r="A773" s="6"/>
      <c r="G773" s="9"/>
      <c r="H773" s="9"/>
      <c r="O773" s="6"/>
      <c r="Q773" s="6"/>
    </row>
    <row r="774">
      <c r="A774" s="6"/>
      <c r="G774" s="9"/>
      <c r="H774" s="9"/>
      <c r="O774" s="6"/>
      <c r="Q774" s="6"/>
    </row>
    <row r="775">
      <c r="A775" s="6"/>
      <c r="G775" s="9"/>
      <c r="H775" s="9"/>
      <c r="O775" s="6"/>
      <c r="Q775" s="6"/>
    </row>
    <row r="776">
      <c r="A776" s="6"/>
      <c r="G776" s="9"/>
      <c r="H776" s="9"/>
      <c r="O776" s="6"/>
      <c r="Q776" s="6"/>
    </row>
    <row r="777">
      <c r="A777" s="6"/>
      <c r="G777" s="9"/>
      <c r="H777" s="9"/>
      <c r="O777" s="6"/>
      <c r="Q777" s="6"/>
    </row>
    <row r="778">
      <c r="A778" s="6"/>
      <c r="G778" s="9"/>
      <c r="H778" s="9"/>
      <c r="O778" s="6"/>
      <c r="Q778" s="6"/>
    </row>
    <row r="779">
      <c r="A779" s="6"/>
      <c r="G779" s="9"/>
      <c r="H779" s="9"/>
      <c r="O779" s="6"/>
      <c r="Q779" s="6"/>
    </row>
    <row r="780">
      <c r="A780" s="6"/>
      <c r="G780" s="9"/>
      <c r="H780" s="9"/>
      <c r="O780" s="6"/>
      <c r="Q780" s="6"/>
    </row>
    <row r="781">
      <c r="A781" s="6"/>
      <c r="G781" s="9"/>
      <c r="H781" s="9"/>
      <c r="O781" s="6"/>
      <c r="Q781" s="6"/>
    </row>
    <row r="782">
      <c r="A782" s="6"/>
      <c r="G782" s="9"/>
      <c r="H782" s="9"/>
      <c r="O782" s="6"/>
      <c r="Q782" s="6"/>
    </row>
    <row r="783">
      <c r="A783" s="6"/>
      <c r="G783" s="9"/>
      <c r="H783" s="9"/>
      <c r="O783" s="6"/>
      <c r="Q783" s="6"/>
    </row>
    <row r="784">
      <c r="A784" s="6"/>
      <c r="G784" s="9"/>
      <c r="H784" s="9"/>
      <c r="O784" s="6"/>
      <c r="Q784" s="6"/>
    </row>
    <row r="785">
      <c r="A785" s="6"/>
      <c r="G785" s="9"/>
      <c r="H785" s="9"/>
      <c r="O785" s="6"/>
      <c r="Q785" s="6"/>
    </row>
    <row r="786">
      <c r="A786" s="6"/>
      <c r="G786" s="9"/>
      <c r="H786" s="9"/>
      <c r="O786" s="6"/>
      <c r="Q786" s="6"/>
    </row>
    <row r="787">
      <c r="A787" s="6"/>
      <c r="G787" s="9"/>
      <c r="H787" s="9"/>
      <c r="O787" s="6"/>
      <c r="Q787" s="6"/>
    </row>
    <row r="788">
      <c r="A788" s="6"/>
      <c r="G788" s="9"/>
      <c r="H788" s="9"/>
      <c r="O788" s="6"/>
      <c r="Q788" s="6"/>
    </row>
    <row r="789">
      <c r="A789" s="6"/>
      <c r="G789" s="9"/>
      <c r="H789" s="9"/>
      <c r="O789" s="6"/>
      <c r="Q789" s="6"/>
    </row>
    <row r="790">
      <c r="A790" s="6"/>
      <c r="G790" s="9"/>
      <c r="H790" s="9"/>
      <c r="O790" s="6"/>
      <c r="Q790" s="6"/>
    </row>
    <row r="791">
      <c r="A791" s="6"/>
      <c r="G791" s="9"/>
      <c r="H791" s="9"/>
      <c r="O791" s="6"/>
      <c r="Q791" s="6"/>
    </row>
    <row r="792">
      <c r="A792" s="6"/>
      <c r="G792" s="9"/>
      <c r="H792" s="9"/>
      <c r="O792" s="6"/>
      <c r="Q792" s="6"/>
    </row>
    <row r="793">
      <c r="A793" s="6"/>
      <c r="G793" s="9"/>
      <c r="H793" s="9"/>
      <c r="O793" s="6"/>
      <c r="Q793" s="6"/>
    </row>
    <row r="794">
      <c r="A794" s="6"/>
      <c r="G794" s="9"/>
      <c r="H794" s="9"/>
      <c r="O794" s="6"/>
      <c r="Q794" s="6"/>
    </row>
    <row r="795">
      <c r="A795" s="6"/>
      <c r="G795" s="9"/>
      <c r="H795" s="9"/>
      <c r="O795" s="6"/>
      <c r="Q795" s="6"/>
    </row>
    <row r="796">
      <c r="A796" s="6"/>
      <c r="G796" s="9"/>
      <c r="H796" s="9"/>
      <c r="O796" s="6"/>
      <c r="Q796" s="6"/>
    </row>
    <row r="797">
      <c r="A797" s="6"/>
      <c r="G797" s="9"/>
      <c r="H797" s="9"/>
      <c r="O797" s="6"/>
      <c r="Q797" s="6"/>
    </row>
    <row r="798">
      <c r="A798" s="6"/>
      <c r="G798" s="9"/>
      <c r="H798" s="9"/>
      <c r="O798" s="6"/>
      <c r="Q798" s="6"/>
    </row>
    <row r="799">
      <c r="A799" s="6"/>
      <c r="G799" s="9"/>
      <c r="H799" s="9"/>
      <c r="O799" s="6"/>
      <c r="Q799" s="6"/>
    </row>
    <row r="800">
      <c r="A800" s="6"/>
      <c r="G800" s="9"/>
      <c r="H800" s="9"/>
      <c r="O800" s="6"/>
      <c r="Q800" s="6"/>
    </row>
    <row r="801">
      <c r="A801" s="6"/>
      <c r="G801" s="9"/>
      <c r="H801" s="9"/>
      <c r="O801" s="6"/>
      <c r="Q801" s="6"/>
    </row>
    <row r="802">
      <c r="A802" s="6"/>
      <c r="G802" s="9"/>
      <c r="H802" s="9"/>
      <c r="O802" s="6"/>
      <c r="Q802" s="6"/>
    </row>
    <row r="803">
      <c r="A803" s="6"/>
      <c r="G803" s="9"/>
      <c r="H803" s="9"/>
      <c r="O803" s="6"/>
      <c r="Q803" s="6"/>
    </row>
    <row r="804">
      <c r="A804" s="6"/>
      <c r="G804" s="9"/>
      <c r="H804" s="9"/>
      <c r="O804" s="6"/>
      <c r="Q804" s="6"/>
    </row>
    <row r="805">
      <c r="A805" s="6"/>
      <c r="G805" s="9"/>
      <c r="H805" s="9"/>
      <c r="O805" s="6"/>
      <c r="Q805" s="6"/>
    </row>
    <row r="806">
      <c r="A806" s="6"/>
      <c r="G806" s="9"/>
      <c r="H806" s="9"/>
      <c r="O806" s="6"/>
      <c r="Q806" s="6"/>
    </row>
    <row r="807">
      <c r="A807" s="6"/>
      <c r="G807" s="9"/>
      <c r="H807" s="9"/>
      <c r="O807" s="6"/>
      <c r="Q807" s="6"/>
    </row>
    <row r="808">
      <c r="A808" s="6"/>
      <c r="G808" s="9"/>
      <c r="H808" s="9"/>
      <c r="O808" s="6"/>
      <c r="Q808" s="6"/>
    </row>
    <row r="809">
      <c r="A809" s="6"/>
      <c r="G809" s="9"/>
      <c r="H809" s="9"/>
      <c r="O809" s="6"/>
      <c r="Q809" s="6"/>
    </row>
    <row r="810">
      <c r="A810" s="6"/>
      <c r="G810" s="9"/>
      <c r="H810" s="9"/>
      <c r="O810" s="6"/>
      <c r="Q810" s="6"/>
    </row>
    <row r="811">
      <c r="A811" s="6"/>
      <c r="G811" s="9"/>
      <c r="H811" s="9"/>
      <c r="O811" s="6"/>
      <c r="Q811" s="6"/>
    </row>
    <row r="812">
      <c r="A812" s="6"/>
      <c r="G812" s="9"/>
      <c r="H812" s="9"/>
      <c r="O812" s="6"/>
      <c r="Q812" s="6"/>
    </row>
    <row r="813">
      <c r="A813" s="6"/>
      <c r="G813" s="9"/>
      <c r="H813" s="9"/>
      <c r="O813" s="6"/>
      <c r="Q813" s="6"/>
    </row>
    <row r="814">
      <c r="A814" s="6"/>
      <c r="G814" s="9"/>
      <c r="H814" s="9"/>
      <c r="O814" s="6"/>
      <c r="Q814" s="6"/>
    </row>
    <row r="815">
      <c r="A815" s="6"/>
      <c r="G815" s="9"/>
      <c r="H815" s="9"/>
      <c r="O815" s="6"/>
      <c r="Q815" s="6"/>
    </row>
    <row r="816">
      <c r="A816" s="6"/>
      <c r="G816" s="9"/>
      <c r="H816" s="9"/>
      <c r="O816" s="6"/>
      <c r="Q816" s="6"/>
    </row>
    <row r="817">
      <c r="A817" s="6"/>
      <c r="G817" s="9"/>
      <c r="H817" s="9"/>
      <c r="O817" s="6"/>
      <c r="Q817" s="6"/>
    </row>
    <row r="818">
      <c r="A818" s="6"/>
      <c r="G818" s="9"/>
      <c r="H818" s="9"/>
      <c r="O818" s="6"/>
      <c r="Q818" s="6"/>
    </row>
    <row r="819">
      <c r="A819" s="6"/>
      <c r="G819" s="9"/>
      <c r="H819" s="9"/>
      <c r="O819" s="6"/>
      <c r="Q819" s="6"/>
    </row>
    <row r="820">
      <c r="A820" s="6"/>
      <c r="G820" s="9"/>
      <c r="H820" s="9"/>
      <c r="O820" s="6"/>
      <c r="Q820" s="6"/>
    </row>
    <row r="821">
      <c r="A821" s="6"/>
      <c r="G821" s="9"/>
      <c r="H821" s="9"/>
      <c r="O821" s="6"/>
      <c r="Q821" s="6"/>
    </row>
    <row r="822">
      <c r="A822" s="6"/>
      <c r="G822" s="9"/>
      <c r="H822" s="9"/>
      <c r="O822" s="6"/>
      <c r="Q822" s="6"/>
    </row>
    <row r="823">
      <c r="A823" s="6"/>
      <c r="G823" s="9"/>
      <c r="H823" s="9"/>
      <c r="O823" s="6"/>
      <c r="Q823" s="6"/>
    </row>
    <row r="824">
      <c r="A824" s="6"/>
      <c r="G824" s="9"/>
      <c r="H824" s="9"/>
      <c r="O824" s="6"/>
      <c r="Q824" s="6"/>
    </row>
    <row r="825">
      <c r="A825" s="6"/>
      <c r="G825" s="9"/>
      <c r="H825" s="9"/>
      <c r="O825" s="6"/>
      <c r="Q825" s="6"/>
    </row>
    <row r="826">
      <c r="A826" s="6"/>
      <c r="G826" s="9"/>
      <c r="H826" s="9"/>
      <c r="O826" s="6"/>
      <c r="Q826" s="6"/>
    </row>
    <row r="827">
      <c r="A827" s="6"/>
      <c r="G827" s="9"/>
      <c r="H827" s="9"/>
      <c r="O827" s="6"/>
      <c r="Q827" s="6"/>
    </row>
    <row r="828">
      <c r="A828" s="6"/>
      <c r="G828" s="9"/>
      <c r="H828" s="9"/>
      <c r="O828" s="6"/>
      <c r="Q828" s="6"/>
    </row>
    <row r="829">
      <c r="A829" s="6"/>
      <c r="G829" s="9"/>
      <c r="H829" s="9"/>
      <c r="O829" s="6"/>
      <c r="Q829" s="6"/>
    </row>
    <row r="830">
      <c r="A830" s="6"/>
      <c r="G830" s="9"/>
      <c r="H830" s="9"/>
      <c r="O830" s="6"/>
      <c r="Q830" s="6"/>
    </row>
    <row r="831">
      <c r="A831" s="6"/>
      <c r="G831" s="9"/>
      <c r="H831" s="9"/>
      <c r="O831" s="6"/>
      <c r="Q831" s="6"/>
    </row>
    <row r="832">
      <c r="A832" s="6"/>
      <c r="G832" s="9"/>
      <c r="H832" s="9"/>
      <c r="O832" s="6"/>
      <c r="Q832" s="6"/>
    </row>
    <row r="833">
      <c r="A833" s="6"/>
      <c r="G833" s="9"/>
      <c r="H833" s="9"/>
      <c r="O833" s="6"/>
      <c r="Q833" s="6"/>
    </row>
    <row r="834">
      <c r="A834" s="6"/>
      <c r="G834" s="9"/>
      <c r="H834" s="9"/>
      <c r="O834" s="6"/>
      <c r="Q834" s="6"/>
    </row>
    <row r="835">
      <c r="A835" s="6"/>
      <c r="G835" s="9"/>
      <c r="H835" s="9"/>
      <c r="O835" s="6"/>
      <c r="Q835" s="6"/>
    </row>
    <row r="836">
      <c r="A836" s="6"/>
      <c r="G836" s="9"/>
      <c r="H836" s="9"/>
      <c r="O836" s="6"/>
      <c r="Q836" s="6"/>
    </row>
    <row r="837">
      <c r="A837" s="6"/>
      <c r="G837" s="9"/>
      <c r="H837" s="9"/>
      <c r="O837" s="6"/>
      <c r="Q837" s="6"/>
    </row>
    <row r="838">
      <c r="A838" s="6"/>
      <c r="G838" s="9"/>
      <c r="H838" s="9"/>
      <c r="O838" s="6"/>
      <c r="Q838" s="6"/>
    </row>
    <row r="839">
      <c r="A839" s="6"/>
      <c r="G839" s="9"/>
      <c r="H839" s="9"/>
      <c r="O839" s="6"/>
      <c r="Q839" s="6"/>
    </row>
    <row r="840">
      <c r="A840" s="6"/>
      <c r="G840" s="9"/>
      <c r="H840" s="9"/>
      <c r="O840" s="6"/>
      <c r="Q840" s="6"/>
    </row>
    <row r="841">
      <c r="A841" s="6"/>
      <c r="G841" s="9"/>
      <c r="H841" s="9"/>
      <c r="O841" s="6"/>
      <c r="Q841" s="6"/>
    </row>
    <row r="842">
      <c r="A842" s="6"/>
      <c r="G842" s="9"/>
      <c r="H842" s="9"/>
      <c r="O842" s="6"/>
      <c r="Q842" s="6"/>
    </row>
    <row r="843">
      <c r="A843" s="6"/>
      <c r="G843" s="9"/>
      <c r="H843" s="9"/>
      <c r="O843" s="6"/>
      <c r="Q843" s="6"/>
    </row>
    <row r="844">
      <c r="A844" s="6"/>
      <c r="G844" s="9"/>
      <c r="H844" s="9"/>
      <c r="O844" s="6"/>
      <c r="Q844" s="6"/>
    </row>
    <row r="845">
      <c r="A845" s="6"/>
      <c r="G845" s="9"/>
      <c r="H845" s="9"/>
      <c r="O845" s="6"/>
      <c r="Q845" s="6"/>
    </row>
    <row r="846">
      <c r="A846" s="6"/>
      <c r="G846" s="9"/>
      <c r="H846" s="9"/>
      <c r="O846" s="6"/>
      <c r="Q846" s="6"/>
    </row>
    <row r="847">
      <c r="A847" s="6"/>
      <c r="G847" s="9"/>
      <c r="H847" s="9"/>
      <c r="O847" s="6"/>
      <c r="Q847" s="6"/>
    </row>
    <row r="848">
      <c r="A848" s="6"/>
      <c r="G848" s="9"/>
      <c r="H848" s="9"/>
      <c r="O848" s="6"/>
      <c r="Q848" s="6"/>
    </row>
    <row r="849">
      <c r="A849" s="6"/>
      <c r="G849" s="9"/>
      <c r="H849" s="9"/>
      <c r="O849" s="6"/>
      <c r="Q849" s="6"/>
    </row>
    <row r="850">
      <c r="A850" s="6"/>
      <c r="G850" s="9"/>
      <c r="H850" s="9"/>
      <c r="O850" s="6"/>
      <c r="Q850" s="6"/>
    </row>
    <row r="851">
      <c r="A851" s="6"/>
      <c r="G851" s="9"/>
      <c r="H851" s="9"/>
      <c r="O851" s="6"/>
      <c r="Q851" s="6"/>
    </row>
    <row r="852">
      <c r="A852" s="6"/>
      <c r="G852" s="9"/>
      <c r="H852" s="9"/>
      <c r="O852" s="6"/>
      <c r="Q852" s="6"/>
    </row>
    <row r="853">
      <c r="A853" s="6"/>
      <c r="G853" s="9"/>
      <c r="H853" s="9"/>
      <c r="O853" s="6"/>
      <c r="Q853" s="6"/>
    </row>
    <row r="854">
      <c r="A854" s="6"/>
      <c r="G854" s="9"/>
      <c r="H854" s="9"/>
      <c r="O854" s="6"/>
      <c r="Q854" s="6"/>
    </row>
    <row r="855">
      <c r="A855" s="6"/>
      <c r="G855" s="9"/>
      <c r="H855" s="9"/>
      <c r="O855" s="6"/>
      <c r="Q855" s="6"/>
    </row>
    <row r="856">
      <c r="A856" s="6"/>
      <c r="G856" s="9"/>
      <c r="H856" s="9"/>
      <c r="O856" s="6"/>
      <c r="Q856" s="6"/>
    </row>
    <row r="857">
      <c r="A857" s="6"/>
      <c r="G857" s="9"/>
      <c r="H857" s="9"/>
      <c r="O857" s="6"/>
      <c r="Q857" s="6"/>
    </row>
    <row r="858">
      <c r="A858" s="6"/>
      <c r="G858" s="9"/>
      <c r="H858" s="9"/>
      <c r="O858" s="6"/>
      <c r="Q858" s="6"/>
    </row>
    <row r="859">
      <c r="A859" s="6"/>
      <c r="G859" s="9"/>
      <c r="H859" s="9"/>
      <c r="O859" s="6"/>
      <c r="Q859" s="6"/>
    </row>
    <row r="860">
      <c r="A860" s="6"/>
      <c r="G860" s="9"/>
      <c r="H860" s="9"/>
      <c r="O860" s="6"/>
      <c r="Q860" s="6"/>
    </row>
    <row r="861">
      <c r="A861" s="6"/>
      <c r="G861" s="9"/>
      <c r="H861" s="9"/>
      <c r="O861" s="6"/>
      <c r="Q861" s="6"/>
    </row>
    <row r="862">
      <c r="A862" s="6"/>
      <c r="G862" s="9"/>
      <c r="H862" s="9"/>
      <c r="O862" s="6"/>
      <c r="Q862" s="6"/>
    </row>
    <row r="863">
      <c r="A863" s="6"/>
      <c r="G863" s="9"/>
      <c r="H863" s="9"/>
      <c r="O863" s="6"/>
      <c r="Q863" s="6"/>
    </row>
    <row r="864">
      <c r="A864" s="6"/>
      <c r="G864" s="9"/>
      <c r="H864" s="9"/>
      <c r="O864" s="6"/>
      <c r="Q864" s="6"/>
    </row>
    <row r="865">
      <c r="A865" s="6"/>
      <c r="G865" s="9"/>
      <c r="H865" s="9"/>
      <c r="O865" s="6"/>
      <c r="Q865" s="6"/>
    </row>
    <row r="866">
      <c r="A866" s="6"/>
      <c r="G866" s="9"/>
      <c r="H866" s="9"/>
      <c r="O866" s="6"/>
      <c r="Q866" s="6"/>
    </row>
    <row r="867">
      <c r="A867" s="6"/>
      <c r="G867" s="9"/>
      <c r="H867" s="9"/>
      <c r="O867" s="6"/>
      <c r="Q867" s="6"/>
    </row>
    <row r="868">
      <c r="A868" s="6"/>
      <c r="G868" s="9"/>
      <c r="H868" s="9"/>
      <c r="O868" s="6"/>
      <c r="Q868" s="6"/>
    </row>
    <row r="869">
      <c r="A869" s="6"/>
      <c r="G869" s="9"/>
      <c r="H869" s="9"/>
      <c r="O869" s="6"/>
      <c r="Q869" s="6"/>
    </row>
    <row r="870">
      <c r="A870" s="6"/>
      <c r="G870" s="9"/>
      <c r="H870" s="9"/>
      <c r="O870" s="6"/>
      <c r="Q870" s="6"/>
    </row>
    <row r="871">
      <c r="A871" s="6"/>
      <c r="G871" s="9"/>
      <c r="H871" s="9"/>
      <c r="O871" s="6"/>
      <c r="Q871" s="6"/>
    </row>
    <row r="872">
      <c r="A872" s="6"/>
      <c r="G872" s="9"/>
      <c r="H872" s="9"/>
      <c r="O872" s="6"/>
      <c r="Q872" s="6"/>
    </row>
    <row r="873">
      <c r="A873" s="6"/>
      <c r="G873" s="9"/>
      <c r="H873" s="9"/>
      <c r="O873" s="6"/>
      <c r="Q873" s="6"/>
    </row>
    <row r="874">
      <c r="A874" s="6"/>
      <c r="G874" s="9"/>
      <c r="H874" s="9"/>
      <c r="O874" s="6"/>
      <c r="Q874" s="6"/>
    </row>
    <row r="875">
      <c r="A875" s="6"/>
      <c r="G875" s="9"/>
      <c r="H875" s="9"/>
      <c r="O875" s="6"/>
      <c r="Q875" s="6"/>
    </row>
    <row r="876">
      <c r="A876" s="6"/>
      <c r="G876" s="9"/>
      <c r="H876" s="9"/>
      <c r="O876" s="6"/>
      <c r="Q876" s="6"/>
    </row>
    <row r="877">
      <c r="A877" s="6"/>
      <c r="G877" s="9"/>
      <c r="H877" s="9"/>
      <c r="O877" s="6"/>
      <c r="Q877" s="6"/>
    </row>
    <row r="878">
      <c r="A878" s="6"/>
      <c r="G878" s="9"/>
      <c r="H878" s="9"/>
      <c r="O878" s="6"/>
      <c r="Q878" s="6"/>
    </row>
    <row r="879">
      <c r="A879" s="6"/>
      <c r="G879" s="9"/>
      <c r="H879" s="9"/>
      <c r="O879" s="6"/>
      <c r="Q879" s="6"/>
    </row>
    <row r="880">
      <c r="A880" s="6"/>
      <c r="G880" s="9"/>
      <c r="H880" s="9"/>
      <c r="O880" s="6"/>
      <c r="Q880" s="6"/>
    </row>
    <row r="881">
      <c r="A881" s="6"/>
      <c r="G881" s="9"/>
      <c r="H881" s="9"/>
      <c r="O881" s="6"/>
      <c r="Q881" s="6"/>
    </row>
    <row r="882">
      <c r="A882" s="6"/>
      <c r="G882" s="9"/>
      <c r="H882" s="9"/>
      <c r="O882" s="6"/>
      <c r="Q882" s="6"/>
    </row>
    <row r="883">
      <c r="A883" s="6"/>
      <c r="G883" s="9"/>
      <c r="H883" s="9"/>
      <c r="O883" s="6"/>
      <c r="Q883" s="6"/>
    </row>
    <row r="884">
      <c r="A884" s="6"/>
      <c r="G884" s="9"/>
      <c r="H884" s="9"/>
      <c r="O884" s="6"/>
      <c r="Q884" s="6"/>
    </row>
    <row r="885">
      <c r="A885" s="6"/>
      <c r="G885" s="9"/>
      <c r="H885" s="9"/>
      <c r="O885" s="6"/>
      <c r="Q885" s="6"/>
    </row>
    <row r="886">
      <c r="A886" s="6"/>
      <c r="G886" s="9"/>
      <c r="H886" s="9"/>
      <c r="O886" s="6"/>
      <c r="Q886" s="6"/>
    </row>
    <row r="887">
      <c r="A887" s="6"/>
      <c r="G887" s="9"/>
      <c r="H887" s="9"/>
      <c r="O887" s="6"/>
      <c r="Q887" s="6"/>
    </row>
    <row r="888">
      <c r="A888" s="6"/>
      <c r="G888" s="9"/>
      <c r="H888" s="9"/>
      <c r="O888" s="6"/>
      <c r="Q888" s="6"/>
    </row>
    <row r="889">
      <c r="A889" s="6"/>
      <c r="G889" s="9"/>
      <c r="H889" s="9"/>
      <c r="O889" s="6"/>
      <c r="Q889" s="6"/>
    </row>
    <row r="890">
      <c r="A890" s="6"/>
      <c r="G890" s="9"/>
      <c r="H890" s="9"/>
      <c r="O890" s="6"/>
      <c r="Q890" s="6"/>
    </row>
    <row r="891">
      <c r="A891" s="6"/>
      <c r="G891" s="9"/>
      <c r="H891" s="9"/>
      <c r="O891" s="6"/>
      <c r="Q891" s="6"/>
    </row>
    <row r="892">
      <c r="A892" s="6"/>
      <c r="G892" s="9"/>
      <c r="H892" s="9"/>
      <c r="O892" s="6"/>
      <c r="Q892" s="6"/>
    </row>
    <row r="893">
      <c r="A893" s="6"/>
      <c r="G893" s="9"/>
      <c r="H893" s="9"/>
      <c r="O893" s="6"/>
      <c r="Q893" s="6"/>
    </row>
    <row r="894">
      <c r="A894" s="6"/>
      <c r="G894" s="9"/>
      <c r="H894" s="9"/>
      <c r="O894" s="6"/>
      <c r="Q894" s="6"/>
    </row>
    <row r="895">
      <c r="A895" s="6"/>
      <c r="G895" s="9"/>
      <c r="H895" s="9"/>
      <c r="O895" s="6"/>
      <c r="Q895" s="6"/>
    </row>
    <row r="896">
      <c r="A896" s="6"/>
      <c r="G896" s="9"/>
      <c r="H896" s="9"/>
      <c r="O896" s="6"/>
      <c r="Q896" s="6"/>
    </row>
    <row r="897">
      <c r="A897" s="6"/>
      <c r="G897" s="9"/>
      <c r="H897" s="9"/>
      <c r="O897" s="6"/>
      <c r="Q897" s="6"/>
    </row>
    <row r="898">
      <c r="A898" s="6"/>
      <c r="G898" s="9"/>
      <c r="H898" s="9"/>
      <c r="O898" s="6"/>
      <c r="Q898" s="6"/>
    </row>
    <row r="899">
      <c r="A899" s="6"/>
      <c r="G899" s="9"/>
      <c r="H899" s="9"/>
      <c r="O899" s="6"/>
      <c r="Q899" s="6"/>
    </row>
    <row r="900">
      <c r="A900" s="6"/>
      <c r="G900" s="9"/>
      <c r="H900" s="9"/>
      <c r="O900" s="6"/>
      <c r="Q900" s="6"/>
    </row>
    <row r="901">
      <c r="A901" s="6"/>
      <c r="G901" s="9"/>
      <c r="H901" s="9"/>
      <c r="O901" s="6"/>
      <c r="Q901" s="6"/>
    </row>
    <row r="902">
      <c r="A902" s="6"/>
      <c r="G902" s="9"/>
      <c r="H902" s="9"/>
      <c r="O902" s="6"/>
      <c r="Q902" s="6"/>
    </row>
    <row r="903">
      <c r="A903" s="6"/>
      <c r="G903" s="9"/>
      <c r="H903" s="9"/>
      <c r="O903" s="6"/>
      <c r="Q903" s="6"/>
    </row>
    <row r="904">
      <c r="A904" s="6"/>
      <c r="G904" s="9"/>
      <c r="H904" s="9"/>
      <c r="O904" s="6"/>
      <c r="Q904" s="6"/>
    </row>
    <row r="905">
      <c r="A905" s="6"/>
      <c r="G905" s="9"/>
      <c r="H905" s="9"/>
      <c r="O905" s="6"/>
      <c r="Q905" s="6"/>
    </row>
    <row r="906">
      <c r="A906" s="6"/>
      <c r="G906" s="9"/>
      <c r="H906" s="9"/>
      <c r="O906" s="6"/>
      <c r="Q906" s="6"/>
    </row>
    <row r="907">
      <c r="A907" s="6"/>
      <c r="G907" s="9"/>
      <c r="H907" s="9"/>
      <c r="O907" s="6"/>
      <c r="Q907" s="6"/>
    </row>
    <row r="908">
      <c r="A908" s="6"/>
      <c r="G908" s="9"/>
      <c r="H908" s="9"/>
      <c r="O908" s="6"/>
      <c r="Q908" s="6"/>
    </row>
    <row r="909">
      <c r="A909" s="6"/>
      <c r="G909" s="9"/>
      <c r="H909" s="9"/>
      <c r="O909" s="6"/>
      <c r="Q909" s="6"/>
    </row>
    <row r="910">
      <c r="A910" s="6"/>
      <c r="G910" s="9"/>
      <c r="H910" s="9"/>
      <c r="O910" s="6"/>
      <c r="Q910" s="6"/>
    </row>
    <row r="911">
      <c r="A911" s="6"/>
      <c r="G911" s="9"/>
      <c r="H911" s="9"/>
      <c r="O911" s="6"/>
      <c r="Q911" s="6"/>
    </row>
    <row r="912">
      <c r="A912" s="6"/>
      <c r="G912" s="9"/>
      <c r="H912" s="9"/>
      <c r="O912" s="6"/>
      <c r="Q912" s="6"/>
    </row>
    <row r="913">
      <c r="A913" s="6"/>
      <c r="G913" s="9"/>
      <c r="H913" s="9"/>
      <c r="O913" s="6"/>
      <c r="Q913" s="6"/>
    </row>
    <row r="914">
      <c r="A914" s="6"/>
      <c r="G914" s="9"/>
      <c r="H914" s="9"/>
      <c r="O914" s="6"/>
      <c r="Q914" s="6"/>
    </row>
    <row r="915">
      <c r="A915" s="6"/>
      <c r="G915" s="9"/>
      <c r="H915" s="9"/>
      <c r="O915" s="6"/>
      <c r="Q915" s="6"/>
    </row>
    <row r="916">
      <c r="A916" s="6"/>
      <c r="G916" s="9"/>
      <c r="H916" s="9"/>
      <c r="O916" s="6"/>
      <c r="Q916" s="6"/>
    </row>
    <row r="917">
      <c r="A917" s="6"/>
      <c r="G917" s="9"/>
      <c r="H917" s="9"/>
      <c r="O917" s="6"/>
      <c r="Q917" s="6"/>
    </row>
    <row r="918">
      <c r="A918" s="6"/>
      <c r="G918" s="9"/>
      <c r="H918" s="9"/>
      <c r="O918" s="6"/>
      <c r="Q918" s="6"/>
    </row>
    <row r="919">
      <c r="A919" s="6"/>
      <c r="G919" s="9"/>
      <c r="H919" s="9"/>
      <c r="O919" s="6"/>
      <c r="Q919" s="6"/>
    </row>
    <row r="920">
      <c r="A920" s="6"/>
      <c r="G920" s="9"/>
      <c r="H920" s="9"/>
      <c r="O920" s="6"/>
      <c r="Q920" s="6"/>
    </row>
    <row r="921">
      <c r="A921" s="6"/>
      <c r="G921" s="9"/>
      <c r="H921" s="9"/>
      <c r="O921" s="6"/>
      <c r="Q921" s="6"/>
    </row>
    <row r="922">
      <c r="A922" s="6"/>
      <c r="G922" s="9"/>
      <c r="H922" s="9"/>
      <c r="O922" s="6"/>
      <c r="Q922" s="6"/>
    </row>
    <row r="923">
      <c r="A923" s="6"/>
      <c r="G923" s="9"/>
      <c r="H923" s="9"/>
      <c r="O923" s="6"/>
      <c r="Q923" s="6"/>
    </row>
    <row r="924">
      <c r="A924" s="6"/>
      <c r="G924" s="9"/>
      <c r="H924" s="9"/>
      <c r="O924" s="6"/>
      <c r="Q924" s="6"/>
    </row>
    <row r="925">
      <c r="A925" s="6"/>
      <c r="G925" s="9"/>
      <c r="H925" s="9"/>
      <c r="O925" s="6"/>
      <c r="Q925" s="6"/>
    </row>
    <row r="926">
      <c r="A926" s="6"/>
      <c r="G926" s="9"/>
      <c r="H926" s="9"/>
      <c r="O926" s="6"/>
      <c r="Q926" s="6"/>
    </row>
    <row r="927">
      <c r="A927" s="6"/>
      <c r="G927" s="9"/>
      <c r="H927" s="9"/>
      <c r="O927" s="6"/>
      <c r="Q927" s="6"/>
    </row>
    <row r="928">
      <c r="A928" s="6"/>
      <c r="G928" s="9"/>
      <c r="H928" s="9"/>
      <c r="O928" s="6"/>
      <c r="Q928" s="6"/>
    </row>
    <row r="929">
      <c r="A929" s="6"/>
      <c r="G929" s="9"/>
      <c r="H929" s="9"/>
      <c r="O929" s="6"/>
      <c r="Q929" s="6"/>
    </row>
    <row r="930">
      <c r="A930" s="6"/>
      <c r="G930" s="9"/>
      <c r="H930" s="9"/>
      <c r="O930" s="6"/>
      <c r="Q930" s="6"/>
    </row>
    <row r="931">
      <c r="A931" s="6"/>
      <c r="G931" s="9"/>
      <c r="H931" s="9"/>
      <c r="O931" s="6"/>
      <c r="Q931" s="6"/>
    </row>
    <row r="932">
      <c r="A932" s="6"/>
      <c r="G932" s="9"/>
      <c r="H932" s="9"/>
      <c r="O932" s="6"/>
      <c r="Q932" s="6"/>
    </row>
    <row r="933">
      <c r="A933" s="6"/>
      <c r="G933" s="9"/>
      <c r="H933" s="9"/>
      <c r="O933" s="6"/>
      <c r="Q933" s="6"/>
    </row>
    <row r="934">
      <c r="A934" s="6"/>
      <c r="G934" s="9"/>
      <c r="H934" s="9"/>
      <c r="O934" s="6"/>
      <c r="Q934" s="6"/>
    </row>
    <row r="935">
      <c r="A935" s="6"/>
      <c r="G935" s="9"/>
      <c r="H935" s="9"/>
      <c r="O935" s="6"/>
      <c r="Q935" s="6"/>
    </row>
    <row r="936">
      <c r="A936" s="6"/>
      <c r="G936" s="9"/>
      <c r="H936" s="9"/>
      <c r="O936" s="6"/>
      <c r="Q936" s="6"/>
    </row>
    <row r="937">
      <c r="A937" s="6"/>
      <c r="G937" s="9"/>
      <c r="H937" s="9"/>
      <c r="O937" s="6"/>
      <c r="Q937" s="6"/>
    </row>
    <row r="938">
      <c r="A938" s="6"/>
      <c r="G938" s="9"/>
      <c r="H938" s="9"/>
      <c r="O938" s="6"/>
      <c r="Q938" s="6"/>
    </row>
    <row r="939">
      <c r="A939" s="6"/>
      <c r="G939" s="9"/>
      <c r="H939" s="9"/>
      <c r="O939" s="6"/>
      <c r="Q939" s="6"/>
    </row>
    <row r="940">
      <c r="A940" s="6"/>
      <c r="G940" s="9"/>
      <c r="H940" s="9"/>
      <c r="O940" s="6"/>
      <c r="Q940" s="6"/>
    </row>
    <row r="941">
      <c r="A941" s="6"/>
      <c r="G941" s="9"/>
      <c r="H941" s="9"/>
      <c r="O941" s="6"/>
      <c r="Q941" s="6"/>
    </row>
    <row r="942">
      <c r="A942" s="6"/>
      <c r="G942" s="9"/>
      <c r="H942" s="9"/>
      <c r="O942" s="6"/>
      <c r="Q942" s="6"/>
    </row>
    <row r="943">
      <c r="A943" s="6"/>
      <c r="G943" s="9"/>
      <c r="H943" s="9"/>
      <c r="O943" s="6"/>
      <c r="Q943" s="6"/>
    </row>
    <row r="944">
      <c r="A944" s="6"/>
      <c r="G944" s="9"/>
      <c r="H944" s="9"/>
      <c r="O944" s="6"/>
      <c r="Q944" s="6"/>
    </row>
    <row r="945">
      <c r="A945" s="6"/>
      <c r="G945" s="9"/>
      <c r="H945" s="9"/>
      <c r="O945" s="6"/>
      <c r="Q945" s="6"/>
    </row>
    <row r="946">
      <c r="A946" s="6"/>
      <c r="G946" s="9"/>
      <c r="H946" s="9"/>
      <c r="O946" s="6"/>
      <c r="Q946" s="6"/>
    </row>
    <row r="947">
      <c r="A947" s="6"/>
      <c r="G947" s="9"/>
      <c r="H947" s="9"/>
      <c r="O947" s="6"/>
      <c r="Q947" s="6"/>
    </row>
    <row r="948">
      <c r="A948" s="6"/>
      <c r="G948" s="9"/>
      <c r="H948" s="9"/>
      <c r="O948" s="6"/>
      <c r="Q948" s="6"/>
    </row>
    <row r="949">
      <c r="A949" s="6"/>
      <c r="G949" s="9"/>
      <c r="H949" s="9"/>
      <c r="O949" s="6"/>
      <c r="Q949" s="6"/>
    </row>
    <row r="950">
      <c r="A950" s="6"/>
      <c r="G950" s="9"/>
      <c r="H950" s="9"/>
      <c r="O950" s="6"/>
      <c r="Q950" s="6"/>
    </row>
    <row r="951">
      <c r="A951" s="6"/>
      <c r="G951" s="9"/>
      <c r="H951" s="9"/>
      <c r="O951" s="6"/>
      <c r="Q951" s="6"/>
    </row>
    <row r="952">
      <c r="A952" s="6"/>
      <c r="G952" s="9"/>
      <c r="H952" s="9"/>
      <c r="O952" s="6"/>
      <c r="Q952" s="6"/>
    </row>
    <row r="953">
      <c r="A953" s="6"/>
      <c r="G953" s="9"/>
      <c r="H953" s="9"/>
      <c r="O953" s="6"/>
      <c r="Q953" s="6"/>
    </row>
    <row r="954">
      <c r="A954" s="6"/>
      <c r="G954" s="9"/>
      <c r="H954" s="9"/>
      <c r="O954" s="6"/>
      <c r="Q954" s="6"/>
    </row>
    <row r="955">
      <c r="A955" s="6"/>
      <c r="G955" s="9"/>
      <c r="H955" s="9"/>
      <c r="O955" s="6"/>
      <c r="Q955" s="6"/>
    </row>
    <row r="956">
      <c r="A956" s="6"/>
      <c r="G956" s="9"/>
      <c r="H956" s="9"/>
      <c r="O956" s="6"/>
      <c r="Q956" s="6"/>
    </row>
    <row r="957">
      <c r="A957" s="6"/>
      <c r="G957" s="9"/>
      <c r="H957" s="9"/>
      <c r="O957" s="6"/>
      <c r="Q957" s="6"/>
    </row>
    <row r="958">
      <c r="A958" s="6"/>
      <c r="G958" s="9"/>
      <c r="H958" s="9"/>
      <c r="O958" s="6"/>
      <c r="Q958" s="6"/>
    </row>
    <row r="959">
      <c r="A959" s="6"/>
      <c r="G959" s="9"/>
      <c r="H959" s="9"/>
      <c r="O959" s="6"/>
      <c r="Q959" s="6"/>
    </row>
    <row r="960">
      <c r="A960" s="6"/>
      <c r="G960" s="9"/>
      <c r="H960" s="9"/>
      <c r="O960" s="6"/>
      <c r="Q960" s="6"/>
    </row>
    <row r="961">
      <c r="A961" s="6"/>
      <c r="G961" s="9"/>
      <c r="H961" s="9"/>
      <c r="O961" s="6"/>
      <c r="Q961" s="6"/>
    </row>
    <row r="962">
      <c r="A962" s="6"/>
      <c r="G962" s="9"/>
      <c r="H962" s="9"/>
      <c r="O962" s="6"/>
      <c r="Q962" s="6"/>
    </row>
    <row r="963">
      <c r="A963" s="6"/>
      <c r="G963" s="9"/>
      <c r="H963" s="9"/>
      <c r="O963" s="6"/>
      <c r="Q963" s="6"/>
    </row>
    <row r="964">
      <c r="A964" s="6"/>
      <c r="G964" s="9"/>
      <c r="H964" s="9"/>
      <c r="O964" s="6"/>
      <c r="Q964" s="6"/>
    </row>
    <row r="965">
      <c r="A965" s="6"/>
      <c r="G965" s="9"/>
      <c r="H965" s="9"/>
      <c r="O965" s="6"/>
      <c r="Q965" s="6"/>
    </row>
    <row r="966">
      <c r="A966" s="6"/>
      <c r="G966" s="9"/>
      <c r="H966" s="9"/>
      <c r="O966" s="6"/>
      <c r="Q966" s="6"/>
    </row>
    <row r="967">
      <c r="A967" s="6"/>
      <c r="G967" s="9"/>
      <c r="H967" s="9"/>
      <c r="O967" s="6"/>
      <c r="Q967" s="6"/>
    </row>
    <row r="968">
      <c r="A968" s="6"/>
      <c r="G968" s="9"/>
      <c r="H968" s="9"/>
      <c r="O968" s="6"/>
      <c r="Q968" s="6"/>
    </row>
    <row r="969">
      <c r="A969" s="6"/>
      <c r="G969" s="9"/>
      <c r="H969" s="9"/>
      <c r="O969" s="6"/>
      <c r="Q969" s="6"/>
    </row>
    <row r="970">
      <c r="A970" s="6"/>
      <c r="G970" s="9"/>
      <c r="H970" s="9"/>
      <c r="O970" s="6"/>
      <c r="Q970" s="6"/>
    </row>
    <row r="971">
      <c r="A971" s="6"/>
      <c r="G971" s="9"/>
      <c r="H971" s="9"/>
      <c r="O971" s="6"/>
      <c r="Q971" s="6"/>
    </row>
    <row r="972">
      <c r="A972" s="6"/>
      <c r="G972" s="9"/>
      <c r="H972" s="9"/>
      <c r="O972" s="6"/>
      <c r="Q972" s="6"/>
    </row>
    <row r="973">
      <c r="A973" s="6"/>
      <c r="G973" s="9"/>
      <c r="H973" s="9"/>
      <c r="O973" s="6"/>
      <c r="Q973" s="6"/>
    </row>
    <row r="974">
      <c r="A974" s="6"/>
      <c r="G974" s="9"/>
      <c r="H974" s="9"/>
      <c r="O974" s="6"/>
      <c r="Q974" s="6"/>
    </row>
    <row r="975">
      <c r="A975" s="6"/>
      <c r="G975" s="9"/>
      <c r="H975" s="9"/>
      <c r="O975" s="6"/>
      <c r="Q975" s="6"/>
    </row>
    <row r="976">
      <c r="A976" s="6"/>
      <c r="G976" s="9"/>
      <c r="H976" s="9"/>
      <c r="O976" s="6"/>
      <c r="Q976" s="6"/>
    </row>
    <row r="977">
      <c r="A977" s="6"/>
      <c r="G977" s="9"/>
      <c r="H977" s="9"/>
      <c r="O977" s="6"/>
      <c r="Q977" s="6"/>
    </row>
    <row r="978">
      <c r="A978" s="6"/>
      <c r="G978" s="9"/>
      <c r="H978" s="9"/>
      <c r="O978" s="6"/>
      <c r="Q978" s="6"/>
    </row>
    <row r="979">
      <c r="A979" s="6"/>
      <c r="G979" s="9"/>
      <c r="H979" s="9"/>
      <c r="O979" s="6"/>
      <c r="Q979" s="6"/>
    </row>
    <row r="980">
      <c r="A980" s="6"/>
      <c r="G980" s="9"/>
      <c r="H980" s="9"/>
      <c r="O980" s="6"/>
      <c r="Q980" s="6"/>
    </row>
    <row r="981">
      <c r="A981" s="6"/>
      <c r="G981" s="9"/>
      <c r="H981" s="9"/>
      <c r="O981" s="6"/>
      <c r="Q981" s="6"/>
    </row>
    <row r="982">
      <c r="A982" s="6"/>
      <c r="G982" s="9"/>
      <c r="H982" s="9"/>
      <c r="O982" s="6"/>
      <c r="Q982" s="6"/>
    </row>
    <row r="983">
      <c r="A983" s="6"/>
      <c r="G983" s="9"/>
      <c r="H983" s="9"/>
      <c r="O983" s="6"/>
      <c r="Q983" s="6"/>
    </row>
    <row r="984">
      <c r="A984" s="6"/>
      <c r="G984" s="9"/>
      <c r="H984" s="9"/>
      <c r="O984" s="6"/>
      <c r="Q984" s="6"/>
    </row>
    <row r="985">
      <c r="A985" s="6"/>
      <c r="G985" s="9"/>
      <c r="H985" s="9"/>
      <c r="O985" s="6"/>
      <c r="Q985" s="6"/>
    </row>
    <row r="986">
      <c r="A986" s="6"/>
      <c r="G986" s="9"/>
      <c r="H986" s="9"/>
      <c r="O986" s="6"/>
      <c r="Q986" s="6"/>
    </row>
    <row r="987">
      <c r="A987" s="6"/>
      <c r="G987" s="9"/>
      <c r="H987" s="9"/>
      <c r="O987" s="6"/>
      <c r="Q987" s="6"/>
    </row>
    <row r="988">
      <c r="A988" s="6"/>
      <c r="G988" s="9"/>
      <c r="H988" s="9"/>
      <c r="O988" s="6"/>
      <c r="Q988" s="6"/>
    </row>
    <row r="989">
      <c r="A989" s="6"/>
      <c r="G989" s="9"/>
      <c r="H989" s="9"/>
      <c r="O989" s="6"/>
      <c r="Q989" s="6"/>
    </row>
    <row r="990">
      <c r="A990" s="6"/>
      <c r="G990" s="9"/>
      <c r="H990" s="9"/>
      <c r="O990" s="6"/>
      <c r="Q990" s="6"/>
    </row>
    <row r="991">
      <c r="A991" s="6"/>
      <c r="G991" s="9"/>
      <c r="H991" s="9"/>
      <c r="O991" s="6"/>
      <c r="Q991" s="6"/>
    </row>
    <row r="992">
      <c r="A992" s="6"/>
      <c r="G992" s="9"/>
      <c r="H992" s="9"/>
      <c r="O992" s="6"/>
      <c r="Q992" s="6"/>
    </row>
    <row r="993">
      <c r="A993" s="6"/>
      <c r="G993" s="9"/>
      <c r="H993" s="9"/>
      <c r="O993" s="6"/>
      <c r="Q993" s="6"/>
    </row>
    <row r="994">
      <c r="A994" s="6"/>
      <c r="G994" s="9"/>
      <c r="H994" s="9"/>
      <c r="O994" s="6"/>
      <c r="Q994" s="6"/>
    </row>
    <row r="995">
      <c r="A995" s="6"/>
      <c r="G995" s="9"/>
      <c r="H995" s="9"/>
      <c r="O995" s="6"/>
      <c r="Q995" s="6"/>
    </row>
    <row r="996">
      <c r="A996" s="6"/>
      <c r="G996" s="9"/>
      <c r="H996" s="9"/>
      <c r="O996" s="6"/>
      <c r="Q996" s="6"/>
    </row>
    <row r="997">
      <c r="A997" s="6"/>
      <c r="G997" s="9"/>
      <c r="H997" s="9"/>
      <c r="O997" s="6"/>
      <c r="Q997" s="6"/>
    </row>
    <row r="998">
      <c r="A998" s="6"/>
      <c r="G998" s="9"/>
      <c r="H998" s="9"/>
      <c r="O998" s="6"/>
      <c r="Q998" s="6"/>
    </row>
    <row r="999">
      <c r="A999" s="6"/>
      <c r="G999" s="9"/>
      <c r="H999" s="9"/>
      <c r="O999" s="6"/>
      <c r="Q999" s="6"/>
    </row>
    <row r="1000">
      <c r="A1000" s="6"/>
      <c r="G1000" s="9"/>
      <c r="H1000" s="9"/>
      <c r="O1000" s="6"/>
      <c r="Q1000" s="6"/>
    </row>
  </sheetData>
  <conditionalFormatting sqref="M2:M1000">
    <cfRule type="containsText" dxfId="0" priority="1" stopIfTrue="1" operator="containsText" text="Chờ duyệt">
      <formula>NOT(ISERROR(SEARCH(("Chờ duyệt"),(M2))))</formula>
    </cfRule>
  </conditionalFormatting>
  <conditionalFormatting sqref="M2:M1000">
    <cfRule type="containsText" dxfId="1" priority="2" stopIfTrue="1" operator="containsText" text="Đã duyệt">
      <formula>NOT(ISERROR(SEARCH(("Đã duyệt"),(M2))))</formula>
    </cfRule>
  </conditionalFormatting>
  <conditionalFormatting sqref="M2:M1000">
    <cfRule type="containsText" dxfId="2" priority="3" stopIfTrue="1" operator="containsText" text="Từ chối">
      <formula>NOT(ISERROR(SEARCH(("Từ chối"),(M2))))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13"/>
    <col customWidth="1" min="10" max="10" width="22.63"/>
    <col customWidth="1" min="11" max="11" width="15.25"/>
    <col customWidth="1" min="12" max="12" width="21.63"/>
    <col customWidth="1" min="14" max="14" width="20.88"/>
    <col customWidth="1" min="15" max="15" width="16.5"/>
    <col customWidth="1" min="16" max="16" width="17.13"/>
    <col customWidth="1" min="19" max="19" width="63.13"/>
  </cols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98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2" t="s">
        <v>16</v>
      </c>
      <c r="R1" s="2" t="s">
        <v>17</v>
      </c>
      <c r="S1" s="2" t="s">
        <v>18</v>
      </c>
      <c r="T1" s="10" t="s">
        <v>19</v>
      </c>
      <c r="U1" s="2" t="s">
        <v>20</v>
      </c>
      <c r="V1" s="11"/>
      <c r="W1" s="11"/>
      <c r="X1" s="11"/>
      <c r="Y1" s="11"/>
      <c r="Z1" s="11"/>
    </row>
    <row r="2">
      <c r="A2" s="12"/>
      <c r="G2" s="13"/>
      <c r="H2" s="13"/>
      <c r="N2" s="14"/>
      <c r="O2" s="12"/>
      <c r="Q2" s="12"/>
      <c r="R2" s="15"/>
      <c r="T2" s="15"/>
      <c r="V2" s="15"/>
      <c r="W2" s="15"/>
      <c r="X2" s="15"/>
      <c r="Y2" s="15"/>
      <c r="Z2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  <col customWidth="1" min="3" max="3" width="12.88"/>
    <col customWidth="1" min="4" max="4" width="16.5"/>
  </cols>
  <sheetData>
    <row r="1">
      <c r="A1" s="2" t="s">
        <v>99</v>
      </c>
      <c r="B1" s="2" t="s">
        <v>100</v>
      </c>
      <c r="C1" s="2" t="s">
        <v>101</v>
      </c>
      <c r="D1" s="2" t="s">
        <v>102</v>
      </c>
      <c r="E1" s="2" t="s">
        <v>12</v>
      </c>
    </row>
    <row r="2">
      <c r="A2" s="2" t="s">
        <v>27</v>
      </c>
      <c r="B2" s="2" t="s">
        <v>46</v>
      </c>
      <c r="C2" s="2" t="s">
        <v>103</v>
      </c>
      <c r="D2" s="2" t="s">
        <v>104</v>
      </c>
      <c r="E2" s="2" t="s">
        <v>105</v>
      </c>
    </row>
    <row r="3">
      <c r="A3" s="2" t="s">
        <v>45</v>
      </c>
      <c r="B3" s="2" t="s">
        <v>90</v>
      </c>
      <c r="C3" s="2" t="s">
        <v>106</v>
      </c>
      <c r="D3" s="2" t="s">
        <v>107</v>
      </c>
      <c r="E3" s="2" t="s">
        <v>105</v>
      </c>
    </row>
    <row r="4">
      <c r="A4" s="2" t="s">
        <v>82</v>
      </c>
      <c r="B4" s="2" t="s">
        <v>108</v>
      </c>
      <c r="C4" s="2" t="s">
        <v>109</v>
      </c>
      <c r="D4" s="2" t="s">
        <v>110</v>
      </c>
      <c r="E4" s="2" t="s">
        <v>105</v>
      </c>
    </row>
    <row r="5">
      <c r="A5" s="2" t="s">
        <v>68</v>
      </c>
      <c r="B5" s="2" t="s">
        <v>111</v>
      </c>
      <c r="C5" s="2" t="s">
        <v>112</v>
      </c>
      <c r="D5" s="2" t="s">
        <v>113</v>
      </c>
      <c r="E5" s="2" t="s">
        <v>105</v>
      </c>
    </row>
    <row r="6">
      <c r="A6" s="2" t="s">
        <v>67</v>
      </c>
      <c r="B6" s="2" t="s">
        <v>52</v>
      </c>
      <c r="C6" s="2" t="s">
        <v>114</v>
      </c>
      <c r="D6" s="2" t="s">
        <v>115</v>
      </c>
      <c r="E6" s="2" t="s">
        <v>105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  <c r="C1" s="2" t="s">
        <v>4</v>
      </c>
      <c r="E1" s="2" t="s">
        <v>8</v>
      </c>
      <c r="G1" s="2" t="s">
        <v>9</v>
      </c>
      <c r="I1" s="2" t="s">
        <v>99</v>
      </c>
      <c r="K1" s="2" t="s">
        <v>12</v>
      </c>
    </row>
    <row r="2">
      <c r="A2" s="2" t="s">
        <v>34</v>
      </c>
      <c r="C2" s="2" t="s">
        <v>24</v>
      </c>
      <c r="E2" s="2" t="s">
        <v>36</v>
      </c>
      <c r="G2" s="2" t="s">
        <v>27</v>
      </c>
      <c r="I2" s="2" t="s">
        <v>27</v>
      </c>
      <c r="K2" s="2" t="s">
        <v>96</v>
      </c>
    </row>
    <row r="3">
      <c r="A3" s="2" t="s">
        <v>55</v>
      </c>
      <c r="C3" s="2" t="s">
        <v>65</v>
      </c>
      <c r="E3" s="2" t="s">
        <v>26</v>
      </c>
      <c r="G3" s="2" t="s">
        <v>45</v>
      </c>
      <c r="I3" s="2" t="s">
        <v>45</v>
      </c>
      <c r="K3" s="2" t="s">
        <v>29</v>
      </c>
    </row>
    <row r="4">
      <c r="A4" s="2" t="s">
        <v>116</v>
      </c>
      <c r="G4" s="2" t="s">
        <v>82</v>
      </c>
      <c r="I4" s="2" t="s">
        <v>82</v>
      </c>
      <c r="K4" s="2" t="s">
        <v>75</v>
      </c>
    </row>
    <row r="5">
      <c r="A5" s="2" t="s">
        <v>117</v>
      </c>
      <c r="G5" s="2" t="s">
        <v>68</v>
      </c>
      <c r="I5" s="2" t="s">
        <v>68</v>
      </c>
    </row>
    <row r="6">
      <c r="A6" s="2" t="s">
        <v>23</v>
      </c>
      <c r="G6" s="2" t="s">
        <v>67</v>
      </c>
      <c r="I6" s="2" t="s">
        <v>67</v>
      </c>
    </row>
    <row r="7">
      <c r="A7" s="2" t="s">
        <v>94</v>
      </c>
    </row>
    <row r="8">
      <c r="A8" s="2" t="s">
        <v>50</v>
      </c>
    </row>
    <row r="9">
      <c r="A9" s="2" t="s">
        <v>60</v>
      </c>
    </row>
    <row r="10">
      <c r="A10" s="2" t="s">
        <v>42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15.0"/>
    <col customWidth="1" min="4" max="4" width="13.38"/>
  </cols>
  <sheetData>
    <row r="1">
      <c r="A1" s="2" t="s">
        <v>118</v>
      </c>
      <c r="B1" s="2" t="s">
        <v>2</v>
      </c>
      <c r="C1" s="2" t="s">
        <v>119</v>
      </c>
      <c r="D1" s="2" t="s">
        <v>120</v>
      </c>
      <c r="E1" s="2" t="s">
        <v>12</v>
      </c>
    </row>
    <row r="2">
      <c r="A2" s="2" t="s">
        <v>46</v>
      </c>
      <c r="B2" s="2" t="s">
        <v>121</v>
      </c>
      <c r="C2" s="2" t="s">
        <v>121</v>
      </c>
      <c r="D2" s="2" t="s">
        <v>122</v>
      </c>
      <c r="E2" s="2" t="s">
        <v>105</v>
      </c>
    </row>
    <row r="3">
      <c r="A3" s="2" t="s">
        <v>46</v>
      </c>
      <c r="B3" s="2" t="s">
        <v>103</v>
      </c>
      <c r="C3" s="2" t="s">
        <v>123</v>
      </c>
      <c r="D3" s="2" t="s">
        <v>27</v>
      </c>
      <c r="E3" s="2" t="s">
        <v>105</v>
      </c>
    </row>
    <row r="4">
      <c r="A4" s="2" t="s">
        <v>90</v>
      </c>
      <c r="B4" s="2" t="s">
        <v>106</v>
      </c>
      <c r="C4" s="2" t="s">
        <v>123</v>
      </c>
      <c r="D4" s="2" t="s">
        <v>45</v>
      </c>
      <c r="E4" s="2" t="s">
        <v>105</v>
      </c>
    </row>
    <row r="5">
      <c r="A5" s="2" t="s">
        <v>108</v>
      </c>
      <c r="B5" s="2" t="s">
        <v>124</v>
      </c>
      <c r="C5" s="2" t="s">
        <v>123</v>
      </c>
      <c r="D5" s="2" t="s">
        <v>82</v>
      </c>
      <c r="E5" s="2" t="s">
        <v>105</v>
      </c>
    </row>
    <row r="6">
      <c r="A6" s="2" t="s">
        <v>111</v>
      </c>
      <c r="B6" s="2" t="s">
        <v>112</v>
      </c>
      <c r="C6" s="2" t="s">
        <v>123</v>
      </c>
      <c r="D6" s="2" t="s">
        <v>68</v>
      </c>
      <c r="E6" s="2" t="s">
        <v>105</v>
      </c>
    </row>
    <row r="7">
      <c r="A7" s="2" t="s">
        <v>52</v>
      </c>
      <c r="B7" s="2" t="s">
        <v>125</v>
      </c>
      <c r="C7" s="2" t="s">
        <v>123</v>
      </c>
      <c r="D7" s="2" t="s">
        <v>126</v>
      </c>
      <c r="E7" s="2" t="s">
        <v>105</v>
      </c>
    </row>
    <row r="8">
      <c r="A8" s="2" t="s">
        <v>30</v>
      </c>
      <c r="B8" s="2" t="s">
        <v>127</v>
      </c>
      <c r="C8" s="2" t="s">
        <v>121</v>
      </c>
      <c r="D8" s="2" t="s">
        <v>122</v>
      </c>
      <c r="E8" s="2" t="s">
        <v>105</v>
      </c>
    </row>
    <row r="9">
      <c r="A9" s="2" t="s">
        <v>108</v>
      </c>
      <c r="B9" s="2" t="s">
        <v>128</v>
      </c>
      <c r="C9" s="2" t="s">
        <v>121</v>
      </c>
      <c r="D9" s="2" t="s">
        <v>122</v>
      </c>
      <c r="E9" s="2" t="s">
        <v>105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24.13"/>
    <col customWidth="1" min="5" max="5" width="21.88"/>
    <col customWidth="1" min="6" max="6" width="16.13"/>
  </cols>
  <sheetData>
    <row r="1">
      <c r="A1" s="2" t="s">
        <v>129</v>
      </c>
      <c r="B1" s="2" t="s">
        <v>1</v>
      </c>
      <c r="C1" s="2" t="s">
        <v>130</v>
      </c>
      <c r="D1" s="2" t="s">
        <v>131</v>
      </c>
      <c r="E1" s="2" t="s">
        <v>102</v>
      </c>
      <c r="F1" s="2" t="s">
        <v>132</v>
      </c>
      <c r="G1" s="2" t="s">
        <v>133</v>
      </c>
    </row>
    <row r="2">
      <c r="A2" s="2">
        <v>1.0</v>
      </c>
      <c r="B2" s="2" t="s">
        <v>21</v>
      </c>
      <c r="C2" s="2" t="s">
        <v>134</v>
      </c>
      <c r="D2" s="2" t="s">
        <v>135</v>
      </c>
      <c r="E2" s="2" t="s">
        <v>136</v>
      </c>
      <c r="F2" s="12">
        <v>45616.604166666664</v>
      </c>
      <c r="G2" s="2" t="s">
        <v>137</v>
      </c>
    </row>
    <row r="3">
      <c r="A3" s="16">
        <v>2.0</v>
      </c>
      <c r="B3" s="2" t="s">
        <v>21</v>
      </c>
      <c r="C3" s="2" t="s">
        <v>30</v>
      </c>
      <c r="D3" s="2" t="s">
        <v>135</v>
      </c>
      <c r="E3" s="2" t="s">
        <v>138</v>
      </c>
      <c r="F3" s="17">
        <v>45982.40195107639</v>
      </c>
    </row>
    <row r="4">
      <c r="A4" s="16">
        <v>3.0</v>
      </c>
      <c r="B4" s="2" t="s">
        <v>40</v>
      </c>
      <c r="C4" s="2" t="s">
        <v>30</v>
      </c>
      <c r="D4" s="2" t="s">
        <v>135</v>
      </c>
      <c r="E4" s="2" t="s">
        <v>57</v>
      </c>
      <c r="F4" s="17">
        <v>45982.414171446755</v>
      </c>
    </row>
    <row r="5">
      <c r="A5" s="16">
        <v>4.0</v>
      </c>
      <c r="B5" s="2" t="s">
        <v>32</v>
      </c>
      <c r="C5" s="2" t="s">
        <v>30</v>
      </c>
      <c r="D5" s="2" t="s">
        <v>135</v>
      </c>
      <c r="E5" s="2" t="s">
        <v>139</v>
      </c>
      <c r="F5" s="17">
        <v>45982.44168336806</v>
      </c>
    </row>
    <row r="6">
      <c r="A6" s="16">
        <v>5.0</v>
      </c>
      <c r="B6" s="2" t="s">
        <v>48</v>
      </c>
      <c r="C6" s="2" t="s">
        <v>30</v>
      </c>
      <c r="D6" s="2" t="s">
        <v>135</v>
      </c>
      <c r="E6" s="2" t="s">
        <v>140</v>
      </c>
      <c r="F6" s="17">
        <v>45982.445718993054</v>
      </c>
    </row>
    <row r="7">
      <c r="A7" s="16">
        <v>6.0</v>
      </c>
      <c r="B7" s="2" t="s">
        <v>54</v>
      </c>
      <c r="C7" s="2" t="s">
        <v>30</v>
      </c>
      <c r="D7" s="2" t="s">
        <v>135</v>
      </c>
      <c r="E7" s="2" t="s">
        <v>141</v>
      </c>
      <c r="F7" s="17">
        <v>45983.316858935184</v>
      </c>
    </row>
    <row r="8">
      <c r="A8" s="16">
        <v>7.0</v>
      </c>
      <c r="B8" s="2" t="s">
        <v>59</v>
      </c>
      <c r="C8" s="2" t="s">
        <v>30</v>
      </c>
      <c r="D8" s="2" t="s">
        <v>135</v>
      </c>
      <c r="E8" s="2" t="s">
        <v>142</v>
      </c>
      <c r="F8" s="17">
        <v>45983.44565858797</v>
      </c>
    </row>
    <row r="9">
      <c r="A9" s="16">
        <v>8.0</v>
      </c>
      <c r="B9" s="2" t="s">
        <v>64</v>
      </c>
      <c r="C9" s="2" t="s">
        <v>30</v>
      </c>
      <c r="D9" s="2" t="s">
        <v>135</v>
      </c>
      <c r="E9" s="2" t="s">
        <v>143</v>
      </c>
      <c r="F9" s="17">
        <v>45983.602626712964</v>
      </c>
    </row>
    <row r="10">
      <c r="A10" s="16">
        <v>9.0</v>
      </c>
      <c r="B10" s="2" t="s">
        <v>72</v>
      </c>
      <c r="C10" s="2" t="s">
        <v>30</v>
      </c>
      <c r="D10" s="2" t="s">
        <v>75</v>
      </c>
      <c r="E10" s="2" t="s">
        <v>77</v>
      </c>
      <c r="F10" s="17">
        <v>45983.614489224536</v>
      </c>
    </row>
    <row r="11">
      <c r="A11" s="16">
        <v>10.0</v>
      </c>
      <c r="B11" s="2" t="s">
        <v>79</v>
      </c>
      <c r="C11" s="2" t="s">
        <v>30</v>
      </c>
      <c r="D11" s="2" t="s">
        <v>135</v>
      </c>
      <c r="E11" s="2" t="s">
        <v>144</v>
      </c>
      <c r="F11" s="17">
        <v>45983.836687337964</v>
      </c>
    </row>
    <row r="12">
      <c r="A12" s="16">
        <v>11.0</v>
      </c>
      <c r="B12" s="2" t="s">
        <v>86</v>
      </c>
      <c r="C12" s="2" t="s">
        <v>30</v>
      </c>
      <c r="D12" s="2" t="s">
        <v>135</v>
      </c>
      <c r="E12" s="2" t="s">
        <v>145</v>
      </c>
      <c r="F12" s="17">
        <v>45984.31696480324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8.38"/>
    <col customWidth="1" min="3" max="3" width="16.5"/>
  </cols>
  <sheetData>
    <row r="1">
      <c r="A1" s="18" t="s">
        <v>146</v>
      </c>
      <c r="B1" s="18" t="s">
        <v>147</v>
      </c>
      <c r="C1" s="18" t="s">
        <v>148</v>
      </c>
    </row>
    <row r="2">
      <c r="A2" s="2" t="s">
        <v>149</v>
      </c>
      <c r="B2" s="19">
        <f>COUNTIFS('Đăng ký công tác'!M:M,"Đã duyệt",'Đăng ký công tác'!U:U,FALSE)+COUNTIFS('Đăng ký công tác'!M:M,"Đã duyệt",'Đăng ký công tác'!U:U,"")</f>
        <v>9</v>
      </c>
      <c r="C2" s="2" t="s">
        <v>150</v>
      </c>
    </row>
    <row r="3">
      <c r="A3" s="2" t="s">
        <v>151</v>
      </c>
      <c r="B3" s="19">
        <f>SUMPRODUCT((MONTH('Đăng ký công tác'!A2:A1000)=MONTH(TODAY()))*(YEAR('Đăng ký công tác'!A2:A1000)=YEAR(TODAY()))*(('Đăng ký công tác'!U2:U1000=FALSE)+('Đăng ký công tác'!U2:U1000="")))</f>
        <v>10</v>
      </c>
      <c r="C3" s="2" t="s">
        <v>152</v>
      </c>
    </row>
    <row r="4">
      <c r="A4" s="2" t="s">
        <v>96</v>
      </c>
      <c r="B4" s="19">
        <f>COUNTIFS('Đăng ký công tác'!M:M,"Chờ duyệt",'Đăng ký công tác'!U:U,FALSE)+COUNTIFS('Đăng ký công tác'!M:M,"Chờ duyệt",'Đăng ký công tác'!U:U,"")</f>
        <v>1</v>
      </c>
      <c r="C4" s="2" t="s">
        <v>153</v>
      </c>
    </row>
    <row r="5">
      <c r="A5" s="2" t="s">
        <v>29</v>
      </c>
      <c r="B5" s="2">
        <f>COUNTIFS('Đăng ký công tác'!M:M,"Đã duyệt",'Đăng ký công tác'!U:U,FALSE)+COUNTIFS('Đăng ký công tác'!M:M,"Đã duyệt",'Đăng ký công tác'!U:U,"")</f>
        <v>9</v>
      </c>
      <c r="C5" s="2" t="s">
        <v>154</v>
      </c>
    </row>
    <row r="6">
      <c r="A6" s="2" t="s">
        <v>75</v>
      </c>
      <c r="B6" s="19">
        <f>COUNTIFS('Đăng ký công tác'!M:M,"Từ chối",'Đăng ký công tác'!U:U,FALSE)+COUNTIFS('Đăng ký công tác'!M:M,"Từ chối",'Đăng ký công tác'!U:U,"")</f>
        <v>1</v>
      </c>
      <c r="C6" s="2" t="s">
        <v>155</v>
      </c>
    </row>
    <row r="8">
      <c r="A8" s="10" t="s">
        <v>156</v>
      </c>
    </row>
    <row r="9">
      <c r="A9" s="2" t="s">
        <v>27</v>
      </c>
      <c r="B9" s="19">
        <f>COUNTIFS('Đăng ký công tác'!K:K,"Văn phòng 55",'Đăng ký công tác'!U:U,FALSE)+COUNTIFS('Đăng ký công tác'!K:K,"Văn phòng 55",'Đăng ký công tác'!U:U,"")</f>
        <v>5</v>
      </c>
    </row>
    <row r="10">
      <c r="A10" s="2" t="s">
        <v>45</v>
      </c>
      <c r="B10" s="2">
        <f>COUNTIFS('Đăng ký công tác'!K:K,"Bình Phước 1",'Đăng ký công tác'!U:U,FALSE)+COUNTIFS('Đăng ký công tác'!K:K,"Bình Phước 1",'Đăng ký công tác'!U:U,"")</f>
        <v>3</v>
      </c>
    </row>
    <row r="11">
      <c r="A11" s="2" t="s">
        <v>82</v>
      </c>
      <c r="B11" s="2">
        <f>COUNTIFS('Đăng ký công tác'!K:K,"Bình Phước 2",'Đăng ký công tác'!U:U,FALSE)+COUNTIFS('Đăng ký công tác'!K:K,"Bình Phước 2",'Đăng ký công tác'!U:U,"")</f>
        <v>1</v>
      </c>
    </row>
    <row r="12">
      <c r="A12" s="2" t="s">
        <v>68</v>
      </c>
      <c r="B12" s="2">
        <f>COUNTIFS('Đăng ký công tác'!K:K,"ERC",'Đăng ký công tác'!U:U,FALSE)+COUNTIFS('Đăng ký công tác'!K:K,"ERC",'Đăng ký công tác'!U:U,"")</f>
        <v>1</v>
      </c>
    </row>
    <row r="13">
      <c r="A13" s="2" t="s">
        <v>67</v>
      </c>
      <c r="B13" s="2">
        <f>COUNTIFS('Đăng ký công tác'!K:K,"Xi nghiệp Bò",'Đăng ký công tác'!U:U,FALSE)+COUNTIFS('Đăng ký công tác'!K:K,"Xi nghiệp Bò",'Đăng ký công tác'!U:U,"")</f>
        <v>1</v>
      </c>
    </row>
  </sheetData>
  <drawing r:id="rId1"/>
</worksheet>
</file>